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D:\Work\app\extract-work\input\T10_2025\"/>
    </mc:Choice>
  </mc:AlternateContent>
  <xr:revisionPtr revIDLastSave="0" documentId="13_ncr:1_{5A80DD18-CDA4-40A2-B5DF-710B93990DF7}" xr6:coauthVersionLast="47" xr6:coauthVersionMax="47" xr10:uidLastSave="{00000000-0000-0000-0000-000000000000}"/>
  <bookViews>
    <workbookView xWindow="-110" yWindow="-110" windowWidth="22620" windowHeight="13500" firstSheet="1" activeTab="1" xr2:uid="{00000000-000D-0000-FFFF-FFFF00000000}"/>
  </bookViews>
  <sheets>
    <sheet name="Th6-T7" sheetId="267" state="hidden" r:id="rId1"/>
    <sheet name="Th8-T9" sheetId="266" r:id="rId2"/>
    <sheet name="Th3-T4" sheetId="264" state="hidden" r:id="rId3"/>
    <sheet name="Th2-Th3" sheetId="263" state="hidden" r:id="rId4"/>
  </sheets>
  <definedNames>
    <definedName name="_xlnm.Print_Area" localSheetId="2">'Th3-T4'!$A$1:$H$194</definedName>
    <definedName name="_xlnm.Print_Area" localSheetId="0">'Th6-T7'!$A$1:$H$337</definedName>
    <definedName name="_xlnm.Print_Area" localSheetId="1">'Th8-T9'!$A$1:$H$87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7" i="263" l="1"/>
  <c r="H145" i="26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00000000-0006-0000-0000-000001000000}">
      <text>
        <r>
          <rPr>
            <b/>
            <sz val="9"/>
            <rFont val="Tahoma"/>
            <family val="2"/>
          </rPr>
          <t>ndkhiem-dnp:</t>
        </r>
        <r>
          <rPr>
            <sz val="9"/>
            <rFont val="Tahoma"/>
            <family val="2"/>
          </rPr>
          <t xml:space="preserve">
Loại công việc theo kế hoạch hay phát sinh</t>
        </r>
      </text>
    </comment>
    <comment ref="C56" authorId="0" shapeId="0" xr:uid="{00000000-0006-0000-0000-000002000000}">
      <text>
        <r>
          <rPr>
            <b/>
            <sz val="9"/>
            <rFont val="Tahoma"/>
            <family val="2"/>
          </rPr>
          <t>ndkhiem-dnp:</t>
        </r>
        <r>
          <rPr>
            <sz val="9"/>
            <rFont val="Tahoma"/>
            <family val="2"/>
          </rPr>
          <t xml:space="preserve">
Loại công việc theo kế hoạch hay phát sinh</t>
        </r>
      </text>
    </comment>
    <comment ref="C77" authorId="0" shapeId="0" xr:uid="{00000000-0006-0000-0000-000003000000}">
      <text>
        <r>
          <rPr>
            <b/>
            <sz val="9"/>
            <rFont val="Tahoma"/>
            <family val="2"/>
          </rPr>
          <t>ndkhiem-dnp:</t>
        </r>
        <r>
          <rPr>
            <sz val="9"/>
            <rFont val="Tahoma"/>
            <family val="2"/>
          </rPr>
          <t xml:space="preserve">
Loại công việc theo kế hoạch hay phát sinh</t>
        </r>
      </text>
    </comment>
    <comment ref="C121" authorId="0" shapeId="0" xr:uid="{00000000-0006-0000-0000-000004000000}">
      <text>
        <r>
          <rPr>
            <b/>
            <sz val="9"/>
            <rFont val="Tahoma"/>
            <family val="2"/>
          </rPr>
          <t>ndkhiem-dnp:</t>
        </r>
        <r>
          <rPr>
            <sz val="9"/>
            <rFont val="Tahoma"/>
            <family val="2"/>
          </rPr>
          <t xml:space="preserve">
Loại công việc theo kế hoạch hay phát sinh</t>
        </r>
      </text>
    </comment>
    <comment ref="C261" authorId="0" shapeId="0" xr:uid="{00000000-0006-0000-0000-000005000000}">
      <text>
        <r>
          <rPr>
            <b/>
            <sz val="9"/>
            <rFont val="Tahoma"/>
            <family val="2"/>
          </rPr>
          <t>ndkhiem-dnp:</t>
        </r>
        <r>
          <rPr>
            <sz val="9"/>
            <rFont val="Tahoma"/>
            <family val="2"/>
          </rPr>
          <t xml:space="preserve">
Loại công việc theo kế hoạch hay phát sinh</t>
        </r>
      </text>
    </comment>
    <comment ref="C280" authorId="0" shapeId="0" xr:uid="{00000000-0006-0000-0000-000006000000}">
      <text>
        <r>
          <rPr>
            <b/>
            <sz val="9"/>
            <rFont val="Tahoma"/>
            <family val="2"/>
          </rPr>
          <t>ndkhiem-dnp:</t>
        </r>
        <r>
          <rPr>
            <sz val="9"/>
            <rFont val="Tahoma"/>
            <family val="2"/>
          </rPr>
          <t xml:space="preserve">
Loại công việc theo kế hoạch hay phát sinh</t>
        </r>
      </text>
    </comment>
    <comment ref="C317" authorId="0" shapeId="0" xr:uid="{00000000-0006-0000-0000-000007000000}">
      <text>
        <r>
          <rPr>
            <b/>
            <sz val="9"/>
            <rFont val="Tahoma"/>
            <family val="2"/>
          </rPr>
          <t>ndkhiem-dnp:</t>
        </r>
        <r>
          <rPr>
            <sz val="9"/>
            <rFont val="Tahoma"/>
            <family val="2"/>
          </rPr>
          <t xml:space="preserve">
Loại công việc theo kế hoạch hay phát sinh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ndkhiem-dnp</author>
    <author>Nguyen Khac Trung</author>
  </authors>
  <commentList>
    <comment ref="C70" authorId="0" shapeId="0" xr:uid="{00000000-0006-0000-0100-000001000000}">
      <text>
        <r>
          <rPr>
            <b/>
            <sz val="9"/>
            <rFont val="Tahoma"/>
            <family val="2"/>
          </rPr>
          <t>ndkhiem-dnp:</t>
        </r>
        <r>
          <rPr>
            <sz val="9"/>
            <rFont val="Tahoma"/>
            <family val="2"/>
          </rPr>
          <t xml:space="preserve">
Loại công việc theo kế hoạch hay phát sinh</t>
        </r>
      </text>
    </comment>
    <comment ref="B74" authorId="1" shapeId="0" xr:uid="{00000000-0006-0000-0100-000002000000}">
      <text>
        <r>
          <rPr>
            <b/>
            <sz val="9"/>
            <color indexed="81"/>
            <rFont val="Tahoma"/>
            <family val="2"/>
          </rPr>
          <t>Nguyen Khac Trung:</t>
        </r>
        <r>
          <rPr>
            <sz val="9"/>
            <color indexed="81"/>
            <rFont val="Tahoma"/>
            <family val="2"/>
          </rPr>
          <t xml:space="preserve">
Triển khai và có báo cáo cụ thể, kết quả cụ thể.
</t>
        </r>
      </text>
    </comment>
    <comment ref="B75" authorId="1" shapeId="0" xr:uid="{00000000-0006-0000-0100-000003000000}">
      <text>
        <r>
          <rPr>
            <b/>
            <sz val="9"/>
            <color indexed="81"/>
            <rFont val="Tahoma"/>
            <family val="2"/>
          </rPr>
          <t>Nguyen Khac Trung:</t>
        </r>
        <r>
          <rPr>
            <sz val="9"/>
            <color indexed="81"/>
            <rFont val="Tahoma"/>
            <family val="2"/>
          </rPr>
          <t xml:space="preserve">
Triển khai và có báo cáo cụ thể, kết quả cụ thể.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00000000-0006-0000-0200-000001000000}">
      <text>
        <r>
          <rPr>
            <b/>
            <sz val="9"/>
            <rFont val="Tahoma"/>
            <family val="2"/>
          </rPr>
          <t>ndkhiem-dnp:</t>
        </r>
        <r>
          <rPr>
            <sz val="9"/>
            <rFont val="Tahoma"/>
            <family val="2"/>
          </rPr>
          <t xml:space="preserve">
Loại công việc theo kế hoạch hay phát sinh</t>
        </r>
      </text>
    </comment>
    <comment ref="C34" authorId="0" shapeId="0" xr:uid="{00000000-0006-0000-0200-000002000000}">
      <text>
        <r>
          <rPr>
            <b/>
            <sz val="9"/>
            <rFont val="Tahoma"/>
            <family val="2"/>
          </rPr>
          <t>ndkhiem-dnp:</t>
        </r>
        <r>
          <rPr>
            <sz val="9"/>
            <rFont val="Tahoma"/>
            <family val="2"/>
          </rPr>
          <t xml:space="preserve">
Loại công việc theo kế hoạch hay phát sinh</t>
        </r>
      </text>
    </comment>
    <comment ref="C47" authorId="0" shapeId="0" xr:uid="{00000000-0006-0000-0200-000003000000}">
      <text>
        <r>
          <rPr>
            <b/>
            <sz val="9"/>
            <rFont val="Tahoma"/>
            <family val="2"/>
          </rPr>
          <t>ndkhiem-dnp:</t>
        </r>
        <r>
          <rPr>
            <sz val="9"/>
            <rFont val="Tahoma"/>
            <family val="2"/>
          </rPr>
          <t xml:space="preserve">
Loại công việc theo kế hoạch hay phát sinh</t>
        </r>
      </text>
    </comment>
    <comment ref="C87" authorId="0" shapeId="0" xr:uid="{00000000-0006-0000-0200-000004000000}">
      <text>
        <r>
          <rPr>
            <b/>
            <sz val="9"/>
            <rFont val="Tahoma"/>
            <family val="2"/>
          </rPr>
          <t>ndkhiem-dnp:</t>
        </r>
        <r>
          <rPr>
            <sz val="9"/>
            <rFont val="Tahoma"/>
            <family val="2"/>
          </rPr>
          <t xml:space="preserve">
Loại công việc theo kế hoạch hay phát sinh</t>
        </r>
      </text>
    </comment>
    <comment ref="C127" authorId="0" shapeId="0" xr:uid="{00000000-0006-0000-0200-000005000000}">
      <text>
        <r>
          <rPr>
            <b/>
            <sz val="9"/>
            <rFont val="Tahoma"/>
            <family val="2"/>
          </rPr>
          <t>ndkhiem-dnp:</t>
        </r>
        <r>
          <rPr>
            <sz val="9"/>
            <rFont val="Tahoma"/>
            <family val="2"/>
          </rPr>
          <t xml:space="preserve">
Loại công việc theo kế hoạch hay phát sinh</t>
        </r>
      </text>
    </comment>
    <comment ref="C143" authorId="0" shapeId="0" xr:uid="{00000000-0006-0000-0200-000006000000}">
      <text>
        <r>
          <rPr>
            <b/>
            <sz val="9"/>
            <rFont val="Tahoma"/>
            <family val="2"/>
          </rPr>
          <t>ndkhiem-dnp:</t>
        </r>
        <r>
          <rPr>
            <sz val="9"/>
            <rFont val="Tahoma"/>
            <family val="2"/>
          </rPr>
          <t xml:space="preserve">
Loại công việc theo kế hoạch hay phát sinh</t>
        </r>
      </text>
    </comment>
    <comment ref="C174" authorId="0" shapeId="0" xr:uid="{00000000-0006-0000-0200-000007000000}">
      <text>
        <r>
          <rPr>
            <b/>
            <sz val="9"/>
            <rFont val="Tahoma"/>
            <family val="2"/>
          </rPr>
          <t>ndkhiem-dnp:</t>
        </r>
        <r>
          <rPr>
            <sz val="9"/>
            <rFont val="Tahoma"/>
            <family val="2"/>
          </rPr>
          <t xml:space="preserve">
Loại công việc theo kế hoạch hay phát sinh</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00000000-0006-0000-0300-000001000000}">
      <text>
        <r>
          <rPr>
            <b/>
            <sz val="9"/>
            <rFont val="Tahoma"/>
            <family val="2"/>
          </rPr>
          <t>ndkhiem-dnp:</t>
        </r>
        <r>
          <rPr>
            <sz val="9"/>
            <rFont val="Tahoma"/>
            <family val="2"/>
          </rPr>
          <t xml:space="preserve">
Loại công việc theo kế hoạch hay phát sinh</t>
        </r>
      </text>
    </comment>
    <comment ref="C33" authorId="0" shapeId="0" xr:uid="{00000000-0006-0000-0300-000002000000}">
      <text>
        <r>
          <rPr>
            <b/>
            <sz val="9"/>
            <rFont val="Tahoma"/>
            <family val="2"/>
          </rPr>
          <t>ndkhiem-dnp:</t>
        </r>
        <r>
          <rPr>
            <sz val="9"/>
            <rFont val="Tahoma"/>
            <family val="2"/>
          </rPr>
          <t xml:space="preserve">
Loại công việc theo kế hoạch hay phát sinh</t>
        </r>
      </text>
    </comment>
    <comment ref="C44" authorId="0" shapeId="0" xr:uid="{00000000-0006-0000-0300-000003000000}">
      <text>
        <r>
          <rPr>
            <b/>
            <sz val="9"/>
            <rFont val="Tahoma"/>
            <family val="2"/>
          </rPr>
          <t>ndkhiem-dnp:</t>
        </r>
        <r>
          <rPr>
            <sz val="9"/>
            <rFont val="Tahoma"/>
            <family val="2"/>
          </rPr>
          <t xml:space="preserve">
Loại công việc theo kế hoạch hay phát sinh</t>
        </r>
      </text>
    </comment>
    <comment ref="C67" authorId="0" shapeId="0" xr:uid="{00000000-0006-0000-0300-000004000000}">
      <text>
        <r>
          <rPr>
            <b/>
            <sz val="9"/>
            <rFont val="Tahoma"/>
            <family val="2"/>
          </rPr>
          <t>ndkhiem-dnp:</t>
        </r>
        <r>
          <rPr>
            <sz val="9"/>
            <rFont val="Tahoma"/>
            <family val="2"/>
          </rPr>
          <t xml:space="preserve">
Loại công việc theo kế hoạch hay phát sinh</t>
        </r>
      </text>
    </comment>
    <comment ref="C100" authorId="0" shapeId="0" xr:uid="{00000000-0006-0000-0300-000005000000}">
      <text>
        <r>
          <rPr>
            <b/>
            <sz val="9"/>
            <rFont val="Tahoma"/>
            <family val="2"/>
          </rPr>
          <t>ndkhiem-dnp:</t>
        </r>
        <r>
          <rPr>
            <sz val="9"/>
            <rFont val="Tahoma"/>
            <family val="2"/>
          </rPr>
          <t xml:space="preserve">
Loại công việc theo kế hoạch hay phát sinh</t>
        </r>
      </text>
    </comment>
    <comment ref="C107" authorId="0" shapeId="0" xr:uid="{00000000-0006-0000-0300-000006000000}">
      <text>
        <r>
          <rPr>
            <b/>
            <sz val="9"/>
            <rFont val="Tahoma"/>
            <family val="2"/>
          </rPr>
          <t>ndkhiem-dnp:</t>
        </r>
        <r>
          <rPr>
            <sz val="9"/>
            <rFont val="Tahoma"/>
            <family val="2"/>
          </rPr>
          <t xml:space="preserve">
Loại công việc theo kế hoạch hay phát sinh</t>
        </r>
      </text>
    </comment>
    <comment ref="C133" authorId="0" shapeId="0" xr:uid="{00000000-0006-0000-0300-000007000000}">
      <text>
        <r>
          <rPr>
            <b/>
            <sz val="9"/>
            <rFont val="Tahoma"/>
            <family val="2"/>
          </rPr>
          <t>ndkhiem-dnp:</t>
        </r>
        <r>
          <rPr>
            <sz val="9"/>
            <rFont val="Tahoma"/>
            <family val="2"/>
          </rPr>
          <t xml:space="preserve">
Loại công việc theo kế hoạch hay phát sinh</t>
        </r>
      </text>
    </comment>
  </commentList>
</comments>
</file>

<file path=xl/sharedStrings.xml><?xml version="1.0" encoding="utf-8"?>
<sst xmlns="http://schemas.openxmlformats.org/spreadsheetml/2006/main" count="2556" uniqueCount="923">
  <si>
    <t>CÔNG TY CP CẢNG ĐỒNG NAI</t>
  </si>
  <si>
    <t>Mẫu: BC-01</t>
  </si>
  <si>
    <t>Stt</t>
  </si>
  <si>
    <t>Công việc</t>
  </si>
  <si>
    <t>Loại công việc</t>
  </si>
  <si>
    <t>Thời gian thực hiện</t>
  </si>
  <si>
    <t>Kết quả thực hiện</t>
  </si>
  <si>
    <t>Đánh giá khó khăn thuận lợi/Tồn đọng</t>
  </si>
  <si>
    <t>Từ</t>
  </si>
  <si>
    <t>Đến</t>
  </si>
  <si>
    <t>I</t>
  </si>
  <si>
    <t>Công việc theo chức năng vị trí</t>
  </si>
  <si>
    <t>Kế hoạch</t>
  </si>
  <si>
    <t>II</t>
  </si>
  <si>
    <t>Công việc tham gia các dự án</t>
  </si>
  <si>
    <t>NGƯỜI BÁO CÁO</t>
  </si>
  <si>
    <t>…</t>
  </si>
  <si>
    <t>Nguyễn Khắc Trung</t>
  </si>
  <si>
    <t>BỘ PHẬN: HC-CNTT</t>
  </si>
  <si>
    <t>BÁO CÁO TIẾN ĐỘ CÔNG VIỆC - BỘ PHẬN IT</t>
  </si>
  <si>
    <t>Ghi chú</t>
  </si>
  <si>
    <t>- Đã nộp lại cho thư ký tổng hợp theo báo cáo của Phòng.</t>
  </si>
  <si>
    <t>1. NGUYỄN KHẮC TRUNG - Trưởng nhóm CNTT</t>
  </si>
  <si>
    <t>2. HỒ QUANG VINH - Nhân Viên IT</t>
  </si>
  <si>
    <t>3. ĐỒNG VĨNH THỊNH - Nhân Viên IT</t>
  </si>
  <si>
    <t>Sắp xếp công việc và điều động nhân sự thực hiện các nghiệp vụ của bộ phận</t>
  </si>
  <si>
    <t>- Điều động kịp thời, phân công công việc hợp lý, sẵn sàng hỗ trợ nhân sự khi cần.</t>
  </si>
  <si>
    <t>BAN HÀNH CHÍNH - CÔNG NGHỆ THÔNG TIN</t>
  </si>
  <si>
    <t>Nguyễn Xuân Hoài Bắc</t>
  </si>
  <si>
    <t xml:space="preserve">Đánh giá kế hoạch hoạt động tháng 3 và lên kế hoạch công việc tháng 4 của bộ phận IT </t>
  </si>
  <si>
    <t>Báo cáo công việc tháng.</t>
  </si>
  <si>
    <t>Rà soát chi phí trong tháng và dự kiến chi phí tháng sau</t>
  </si>
  <si>
    <t>Triển khai hệ thống camera IP EIR 2 và cầu Cảng K3</t>
  </si>
  <si>
    <t>Triển khai HT cáp quang nội bộ Cảng GD</t>
  </si>
  <si>
    <t>Triển khai di dời phòng máy chủ Cảng GD</t>
  </si>
  <si>
    <t>4. HUỲNH MINH THÀNH - Nhân Viên IT</t>
  </si>
  <si>
    <t>Phê duyệt các hồ sơ của bộ phận</t>
  </si>
  <si>
    <r>
      <rPr>
        <b/>
        <sz val="12"/>
        <color indexed="8"/>
        <rFont val="Times New Roman"/>
        <family val="1"/>
      </rPr>
      <t>+ Đầu tư phần mềm GTOS</t>
    </r>
    <r>
      <rPr>
        <sz val="12"/>
        <color indexed="8"/>
        <rFont val="Times New Roman"/>
        <family val="1"/>
      </rPr>
      <t xml:space="preserve">
- Thu thập ý kiến người dùng và cho Vendor khảo sát thực tế ghi nhận lại các tác nghiệp hiện tại.
- Xây dựng các chức năng/tính năng của phần mềm.
- Hoàn tất Hồ sơ kỹ thuật và dự toán phần mềm để thực hiện xin chủ trương đầu tư</t>
    </r>
  </si>
  <si>
    <t>+ Đào tạo, tổng kết triển khai Phần mềm VTOS</t>
  </si>
  <si>
    <t>Đột xuất</t>
  </si>
  <si>
    <t>- Tổng hợp, đánh giá và nộp lại đúng hạn.</t>
  </si>
  <si>
    <t>+ Nghiên cứu giải pháp Backup</t>
  </si>
  <si>
    <t>- Xứ lý các sự cố/hỗ trợ người dùng</t>
  </si>
  <si>
    <t>-  Backup CSDL phần mềm KDSX</t>
  </si>
  <si>
    <t>- Hỗ trợ Người dùng/khách hàng: VTOS - VLS</t>
  </si>
  <si>
    <t>- Hoàn tất các biên bản bàn giao nghiệm thu thiết bị CNTT (Xe nâng, tally…)</t>
  </si>
  <si>
    <t>Rà soát lại hệ thống Mạng, máy chủ và nắm quyền quản trị hệ thống</t>
  </si>
  <si>
    <t>- Đào tạo, tổng kết triển khai Phần mềm VTOS phân quyền Báo Cáo</t>
  </si>
  <si>
    <t>- Đang thực hiện</t>
  </si>
  <si>
    <t>- T. Trình: 28/2 - Thi công: từ 4/3 - nghiệm thu 20/3</t>
  </si>
  <si>
    <t>- Khảo sát  (4/3) - Lên PA - Tở Trình 21/3</t>
  </si>
  <si>
    <t>- Thu thập ý kiến các bộ phận Lần 1: từ 24/3 - 03/3.
- Thu tập ý kiến lần 2: từ 06/3 - 15/3
- Từ 10/3 Khảo sát lấy ý kiến trực tiếp các bộ phận SX
- Tổng hợp ý kiến, xây dựng sơ bộ tính năng: 17/3 - 28/3</t>
  </si>
  <si>
    <t>- Đã tổ chức đào tạo, giới thiệu ngày 13/3. Đang thực hiện báo cáo phân quyền (Thịnh)</t>
  </si>
  <si>
    <t>Hằng ngày</t>
  </si>
  <si>
    <t>- Đã trao đổi với P.KTCT và Ban KTDD phương án triển khai
- Đang lên phương án kỹ thuật</t>
  </si>
  <si>
    <t>- Lên phương án bổ sung Cam cầu Cảng K3 (cũ)</t>
  </si>
  <si>
    <t>- Các đơn vị chậm góp ý, đóng góp xây dựng
- Các văn bản liên quan hạn chế.
- Đề xuất cho tiếp cận phần mềm Client để tiếp cận quy trình làm hàng thực tế để xây dựng các tính năng/chức năng cho phần mềm mới</t>
  </si>
  <si>
    <t>Nghiên cứu giải pháp lắp đặt Camera tại C1A</t>
  </si>
  <si>
    <t>- Cho lắp đặt thử nghiệm ngày 5/3.</t>
  </si>
  <si>
    <t>Cảng LBT yêu cầu Camera phải xem được: Biển số xe, lẫn số Cont 20, cont 40. Phải xem rõ cả ngày lẫn đêm nên đang cho lắp đặt thiết bị trước để đánh giá và chọn phương án phù hợp,</t>
  </si>
  <si>
    <t>Rà soát lại hệ thống Camera tại GDA-B và báo cáo phục vụ Đại hội người LĐ</t>
  </si>
  <si>
    <t>Hỗ trợ công việc của các nhân sự khi bận/chưa thực hiện được</t>
  </si>
  <si>
    <t>- Kịp thời hỗ trợ khi các nhân sự Bận/chưa thực hiện kịp thời.</t>
  </si>
  <si>
    <t>Thẽo dõi giám sát hệ thống mạng và hạ tầng</t>
  </si>
  <si>
    <t>- Không phát hiện sự cố nào</t>
  </si>
  <si>
    <t>- Phần mềm PRTG bản free nên bị hạn chế số lượng thiết bị giám sát.
- Đang nghiên cứu giải pháp giám sát mạng tốt hơn, được dựng trên máy chủ của Cảng</t>
  </si>
  <si>
    <t>Chi phí thực hiện (VNĐ)</t>
  </si>
  <si>
    <r>
      <rPr>
        <b/>
        <sz val="12"/>
        <rFont val="Times New Roman"/>
        <family val="1"/>
      </rPr>
      <t xml:space="preserve">Kiểm tra và bảo trì hệ thống mạng: </t>
    </r>
    <r>
      <rPr>
        <sz val="12"/>
        <rFont val="Times New Roman"/>
        <family val="1"/>
      </rPr>
      <t>Kiểm tra hiệu suất mạng, Cập nhật firmware, Kiểm tra cáp và kết nối vật lý…</t>
    </r>
  </si>
  <si>
    <t>Hàng ngày</t>
  </si>
  <si>
    <t>- Băng thông trung bình đạt 85% công suất, không có dấu hiệu nghẽn mạng.</t>
  </si>
  <si>
    <t>Không</t>
  </si>
  <si>
    <r>
      <rPr>
        <b/>
        <sz val="12"/>
        <rFont val="Times New Roman"/>
        <family val="1"/>
      </rPr>
      <t xml:space="preserve">Quản lý và bảo mật hệ thống: </t>
    </r>
    <r>
      <rPr>
        <sz val="12"/>
        <rFont val="Times New Roman"/>
        <family val="1"/>
      </rPr>
      <t>Kiểm tra nhật ký firewall, Cập nhật phần mềm bảo mật, Sao lưu cấu hình thiết bị Core…</t>
    </r>
  </si>
  <si>
    <t>- Không phát hiện mối đe dọa nghiêm trọng, một vài truy cập không hợp lệ từ IP lạ đã bị chặn tự động.
- Backup hoàn tất, kiểm tra khôi phục thử nghiệm thành công</t>
  </si>
  <si>
    <t>Hỗ trợ người dùng và xử lý sự cố hệ thống mạng</t>
  </si>
  <si>
    <t>( Kiểm tra và giải quyết các vấn đề liên quan đến kết nối mạng (Wi-Fi yếu, không truy cập được server, v.v.).</t>
  </si>
  <si>
    <t>3.1</t>
  </si>
  <si>
    <t>Hỗ trợ trạm Cân Cảng LBT</t>
  </si>
  <si>
    <t>- Sửa lỗi hàm excel, chỉnh sửa ngày giờ hệ thống cho phù hợp với biểu mẫu.
- Đã hoàn thành</t>
  </si>
  <si>
    <t>3.2</t>
  </si>
  <si>
    <t>Cài đặt phần mềm máy tính cho nhân viên phòng Dự án Công nghệ</t>
  </si>
  <si>
    <t>- Cài đặt phần mềm Autocad
- Active Window 7 (64bit) và Office 2010
- Đã hoàn thành</t>
  </si>
  <si>
    <t xml:space="preserve">Không </t>
  </si>
  <si>
    <t>3.3</t>
  </si>
  <si>
    <t>Add camera vào hệ thống Nas02:
- LBT02-CAM17: 192.168.106.64
- LBT02-CAM18: 192.168.106.63</t>
  </si>
  <si>
    <t>Hoàn thành</t>
  </si>
  <si>
    <t>3.4</t>
  </si>
  <si>
    <t>Fix lỗi hệ thống mạng tủ rack HP chứa máy chủ chạy Portal</t>
  </si>
  <si>
    <t>- Thay thế switch 
- Hệ thống đã hoạt động bình thường</t>
  </si>
  <si>
    <t>3.5</t>
  </si>
  <si>
    <t>Khắc phục lỗi treo máy cho Laptop P.TGĐ Tuấn Đỗ</t>
  </si>
  <si>
    <t>Đang thực hiện</t>
  </si>
  <si>
    <t>Nhà cung cấp chưa cung ứng
 được thiết bị</t>
  </si>
  <si>
    <t>3.6</t>
  </si>
  <si>
    <t>Sữa lỗi excel cho chị Thanh Cảng Gò Dầu</t>
  </si>
  <si>
    <t>3.7</t>
  </si>
  <si>
    <t>Cài đặt phần mềm G8- Dự Toán cho nhân viên (Hòa) phòng Dự án Công nghệ</t>
  </si>
  <si>
    <t>3.8</t>
  </si>
  <si>
    <t>Nghiên cứu và đặt mua bút trình chiếu cho P.TGĐ Tuấn Đỗ</t>
  </si>
  <si>
    <t>- Đang đặt mua thiết bị</t>
  </si>
  <si>
    <t>Y/c trình chiếu được trên các loại màn hình Tivi khác nhau nên cần tìm kiếm thiết bị phù hợp</t>
  </si>
  <si>
    <t>3.9</t>
  </si>
  <si>
    <t>Fix lỗi mất kết nối wifi khu vực bãi MAERSK</t>
  </si>
  <si>
    <t>- Đã Cấu hình lại thiết bị hoạt động bình thường</t>
  </si>
  <si>
    <t>Gói nâng Nâng cấp thiết bị Công nghệ Thông tin tại Nhà Điều Độ (OPS) và khu Thủ Tục 1 (EIR1) thuộc Cảng Long Bình Tân</t>
  </si>
  <si>
    <t>- Cấu hình thiết bị chuyển mạch (Switch)
- Phối hợp đơn vị vendor lắp đặt thiết bị tại phòng máy chủ đấu nối về OPS và 
EIR1.
- Cấu hình lại hệ thống wifi cho OPS và EIR1
- Hoàn tất hồ sơ</t>
  </si>
  <si>
    <t>Khảo sát lên phương án di dời phòng máy chủ và nâng cấp hệ thống mạng lõi tại Cảng GD (tại phòng máy chủ và các điểm đầu cuối: Văn phòng Cảng/ BOT Diều độ, trạm cân….)</t>
  </si>
  <si>
    <t>- Đã thực hiện xong khảo sát, lên phương án. Đang làm tờ trình xin chủ trương</t>
  </si>
  <si>
    <t>93,830,600</t>
  </si>
  <si>
    <t>Phối hợp Nghiên cứu giải pháp triển khai Tổng đài IP (Phần hạ tầng CNTT)</t>
  </si>
  <si>
    <t>- Đã phối hợp khảo sát</t>
  </si>
  <si>
    <t>Kế hoạch công việc tháng tiếp theo: (Từ ngày 20/03/2025 đến hết ngày 20/04/2025)</t>
  </si>
  <si>
    <t>Mô tả yêu cầu, giải pháp để thực hiện</t>
  </si>
  <si>
    <t xml:space="preserve"> </t>
  </si>
  <si>
    <t>Kiểm tra và bảo trì hệ thống mạng</t>
  </si>
  <si>
    <t>Quản lý và bảo mật hệ thống</t>
  </si>
  <si>
    <t>Báo cáo và lập kế hoạch nâng cấp hệ thống (nếu có)</t>
  </si>
  <si>
    <t>- Đánh giá hạ tầng Mạng (băng thông) và thiết bị đầu cuối xem có đáp ứng được giải pháp hay không</t>
  </si>
  <si>
    <t>Thi công di dời phòng máy chủ và nâng cấp hệ thống mạng lõi tại Cảng GD</t>
  </si>
  <si>
    <t>- Cấu hình thiết bị Firewall, CoreSwitch
- Phối hợp đơn vị vendor lắp đặt thiết bị tại phòng máy chủ</t>
  </si>
  <si>
    <t>Nâng cấp hệ thống wifi cho Ban Lãnh Đạo (Chủ tích, Tổng Giám Đốc)</t>
  </si>
  <si>
    <t>- Làm tờ trình xin chủ trương và thực hiện.
- Lắp đặt và Cấu hình thiết bị. Kết nối vào HT Wifi</t>
  </si>
  <si>
    <t>- Hoàn tất thi công 26-27/2, HSTT nộp lên KT ngày 6/3</t>
  </si>
  <si>
    <t>- Chưa thấy CK cho khách hàng</t>
  </si>
  <si>
    <t>- Đã góp ý phương án/tờ trình cho A Thành</t>
  </si>
  <si>
    <t>- Chưa thấy Thịnh thực hiện nội dung báo cáo Phân quyền</t>
  </si>
  <si>
    <t>Cài đặt, bàn giao máy tính và làm hồ sơ thanh toán v/v trang bị 03 máy tính bộ cho B.KTTV và B.HCBV-LBT</t>
  </si>
  <si>
    <t>Hoàn thành trước tiến độ</t>
  </si>
  <si>
    <t>Kiểm tra và khắc phục camera LBT01-Cam01, LBT01-Cam02 bị mất tín hiệu</t>
  </si>
  <si>
    <t xml:space="preserve">Cài đặt, bàn giao laptop và làm hồ sơ thanh toán v/v trang bị 01 laptop cho P.Kinh Doanh, </t>
  </si>
  <si>
    <t>Kiểm tra và khắc phục camera LBT03-Cam12, LBT03-Cam13, LBT03-Cam14 bị mất tín hiệu</t>
  </si>
  <si>
    <t>Kiểm tra và khắc phục camera LBT10-Cam05, LBT10-Cam06, LBT10-08 bị mất tín hiệu</t>
  </si>
  <si>
    <t>Kiểm tra và khắc phục camera LBT03-Cam05, LBT03-Cam06 bị mất tín hiệu</t>
  </si>
  <si>
    <t>Kiểm tra và khắc phục mất Internet Tại Cont Bãi Maesrk</t>
  </si>
  <si>
    <t>Kiểm tra và khắc phục camera LBT03-Cam16</t>
  </si>
  <si>
    <t>Kiểm tra và khắc phục máy tính trạm cần GDA bị hư</t>
  </si>
  <si>
    <t>Giám sát, nghiệm thu và bàn giao thiết bị Gói: thi công tuyến cáp quang nội bộ Cảng GDB</t>
  </si>
  <si>
    <t>Đã hoàn thành</t>
  </si>
  <si>
    <t>Lắp thêm camera để chụp số container tại cổng C1 theo đề xuất của cảng LBT</t>
  </si>
  <si>
    <t>Cài đặt, bàn giao máy tính và làm hồ sơ thanh toán v/v trang bị 02 máy tính cho B.Khai thác kho hàng P.KVL</t>
  </si>
  <si>
    <t>Cài đặt, bàn giao máy tính và làm hồ sơ thanh toán v/v  trang bị laptop cho P.Logistics</t>
  </si>
  <si>
    <t>Làm hồ sơ thanh toán thiết bị</t>
  </si>
  <si>
    <t>Làm hồ sơ thanh toán mực in</t>
  </si>
  <si>
    <t>Lắp đặt 01 bộ máy tính cũ cho EIR2 phục vụ trình chiếu sơ đồ hạ cont theo đề xuất của B.KTĐĐ Cảng LBT</t>
  </si>
  <si>
    <t>Hỗ trợ công tác chuẩn bị Đại hội cổ đông theo đề nghị của Thư ký BLĐ</t>
  </si>
  <si>
    <t>Khảo sát lên phương án thi công Camera Cầu Cảng GDA</t>
  </si>
  <si>
    <t>Đồng Nai, ngày 22 tháng 3 năm 2025</t>
  </si>
  <si>
    <t>- Kịp thời không chậm trễ khi nhân sự trình ký</t>
  </si>
  <si>
    <t>Phối hợp Nghiên cứu giải pháp triển khai Tổng đài IP</t>
  </si>
  <si>
    <t>Phối hợp với BIDV - CEH - ONEPAGE Triển khai cổng thanh toán điện tử (Thẻ nội địa) trên VSL (ePort) theo đề xuất của Cảng LBT ngày 19/03/2025</t>
  </si>
  <si>
    <t xml:space="preserve"> - Đang phối hợp thống nhất giải pháp và Quy trình thực hiện</t>
  </si>
  <si>
    <t>- Phát sinh chi phí (p.TCKT) và cần phối hợp với nhiều bên để triển khai</t>
  </si>
  <si>
    <t>- Ký Hợp đồng bảo trì phần mềm Lovad</t>
  </si>
  <si>
    <t>- Đã phối hợp khảo sát, lên số lượng thiết bị (38/43)
- Đang nghiên cứu giải pháp triển khai: 
+ Tổng đài đặt PMC
+ Mỗi vị trí đặt chia line từ máy tính (hoặc switch)</t>
  </si>
  <si>
    <t>- Hạ tầng mạng khu văn phòng đang chưa được chuẩn hoá.
- Đề xuất tách VLAN riêng nếu làm VoIP</t>
  </si>
  <si>
    <t>Thay switch dự phòng, switch cũ bị hư. HT đã lên hình đầy đủ</t>
  </si>
  <si>
    <t>Hoàn thành, Mất nguồn điện đầu vào</t>
  </si>
  <si>
    <t>Hoàn thành, Hư Converter + Nguồn</t>
  </si>
  <si>
    <t>Hoàn thành, Bấm lại đầu Mạng</t>
  </si>
  <si>
    <t xml:space="preserve"> Đề xuât Cảng LBT hỗ trợ đấu nối lại đường điện đầu vào</t>
  </si>
  <si>
    <t>Đi kiểm tra hệ thống Tủ kỹ thuật Camera và thống nhất vị trí đấu nối diện đầu vào</t>
  </si>
  <si>
    <t>- Liên hệ vendor thực hiện. Quá trình khảo sát cần thống nhất với Cảng GD</t>
  </si>
  <si>
    <t>- In thẻ, gửi cho Thư ký duyệt trước</t>
  </si>
  <si>
    <t>Làm hồ sơ xin lắp thêm camera để chụp số container tại cổng C1A</t>
  </si>
  <si>
    <t>- Anh Chung hỗ trợ, Phối hợp với Cảng LBT để chốt list</t>
  </si>
  <si>
    <t>Mở rộng hệ thống lưu trữ Camera hiện tại NAS1,2 (Đang bị thiếu ngày lưu trữ - đâu đó chỉ còn hơn 70 ngày)</t>
  </si>
  <si>
    <t>- Nghiên cứu giải pháp mở rộng.
- Tính toán dung lượng
- Xin ý kiến triển khai do phát sinh</t>
  </si>
  <si>
    <t xml:space="preserve">Triển khai NAS lưu trữ dữ liệu backup của hệ thống (Dữ liệu, bản sao lưu CSDL+Máy ảo....) </t>
  </si>
  <si>
    <t>- Nghiên cứu giải pháp triển khai đồng bộ dữ liệu, hiện tại đang backup thủ công.
- Tính toán số lượng phần mềm, thiết bị cần backup và dung lượng cần dùng.
- Lựa chọn giải pháp phù hợp với chi phí hiện tại
- (Phối hợp với Thịnh thực hiện)</t>
  </si>
  <si>
    <t>Kiểm tra, lập biên bản và mua máy in mới cho B.KSNB</t>
  </si>
  <si>
    <t>- Kiểm tra thiết bị hiện tại, xác định nhu cầu của đơn vị và lựa chọn giải pháp phù hợp</t>
  </si>
  <si>
    <t>Theo dõi tình hình hoạt động, ứng dụng CNTT toàn Cty</t>
  </si>
  <si>
    <t>- Theo dõi kịp thời nắm bắt thông tin tại các bộ phận và các đơn vị sản xuất để tìm giải pháp và tham mưu.</t>
  </si>
  <si>
    <t>- Thịnh chậm trễ trong báo cáo Công việc hằng tháng.</t>
  </si>
  <si>
    <t>ĐÁNH GIÁ CHUNG</t>
  </si>
  <si>
    <t>III</t>
  </si>
  <si>
    <t>Về công tác quản lý:</t>
  </si>
  <si>
    <t>Công tác chuyên môn:</t>
  </si>
  <si>
    <t>ĐÁNH GIÁ CÔNG VIỆC HẰNG THÁNG</t>
  </si>
  <si>
    <t>A. Thực hiện công việc tháng Từ ngày 20/02/2025 đến hết ngày 20/03/2025</t>
  </si>
  <si>
    <t>B. Kế hoạch công việc tháng tiếp theo: (Từ ngày 20/03/2025 đến hết ngày 20/04/2025)</t>
  </si>
  <si>
    <t>- Đã nộp lại cho thư ký tổng hợp và giải trình cho GĐ phòng</t>
  </si>
  <si>
    <t>- Tại vị trí này đã có 02 Camera, B.KTDD đề nghị lắp thêm 4 cam tại ví trí mới. Đang đề nghị B.KTDD giải trình.</t>
  </si>
  <si>
    <t>Về công việc hằng ngày:</t>
  </si>
  <si>
    <t>Thực hiện chuyên môn:</t>
  </si>
  <si>
    <t>Tốt</t>
  </si>
  <si>
    <t>Đáp ứng</t>
  </si>
  <si>
    <t>Tốt, tuy nhiên cần chủ động thực hiện công việc hơn, cần hỗ trợ thêm các công việc khác của bộ phận</t>
  </si>
  <si>
    <t>Tốt, tuy nhiên cần chủ động và nhanh gọn hơn trong công việc. Vẫn có tình trạng bị phàn nàn về công việc triển khai</t>
  </si>
  <si>
    <t>- Các công việc được giao đang chậm trễ, chưa có báo cáo giải trình</t>
  </si>
  <si>
    <t>CHƯA CÓ BÁO CÁO</t>
  </si>
  <si>
    <t>Nghiên cứu tuyến cáp liên thông GDA-B</t>
  </si>
  <si>
    <t>- Phối hợp với VNPT khảo sát.
- Lên phương án và báo cáo lãnh đạo</t>
  </si>
  <si>
    <t>Nghiên cứu Triển khai Tổng đài điện thoại IP (VoIP)</t>
  </si>
  <si>
    <t>Từ ngày 20/3/2025  đến hết ngày 20/4/2025</t>
  </si>
  <si>
    <t>Từ ngày 20/2/2025  đến hết ngày 20/3/2025</t>
  </si>
  <si>
    <t xml:space="preserve">Đánh giá kế hoạch hoạt động tháng 4 và lên kế hoạch công việc tháng 5 của bộ phận IT </t>
  </si>
  <si>
    <t>Lên phương án/Thực hiện tờ trình: Lắp đặt Camera tại C1A</t>
  </si>
  <si>
    <t>Đánh giá KPI theo biểu mẫu mới ban hành cho Quý 1.</t>
  </si>
  <si>
    <t>- Đã nộp lại cho tổng hợp Ban đánh giá.</t>
  </si>
  <si>
    <t>+ Khảo sát  (4/3) - Lên PA - Tở Trình 21/3.
+ Thực hiện ngăn vách, lắp đặt thiết bị phòng máy chủ:
 - Thời gian:  Từ 24/3-8/4
+ Ký hợp đồng, tạm ứng và Thực hiện cấu hình, kiểm thử thiết bị:
- Thời gian:  Từ 24/3-8/4
+ Thi công lặp đặt thiết bị và chuyển dời hệ thống: 
- Thời gian (dự kiện): 12/4-13/4/2025 (Thứ 7, Chủ nhật)</t>
  </si>
  <si>
    <t>- Đã góp ý phương án/tờ thực hiện.
- Xin ý kiến Phòng/Ban và Thông báo cho các đơn vị liên quan thực hiện</t>
  </si>
  <si>
    <t>Thống kê báo cáo và phân quyền trên VTOS, VSL</t>
  </si>
  <si>
    <t>Thực hiện tờ trình, thi công và nghiệm thu Camera Cầu Cảng GDA</t>
  </si>
  <si>
    <t>Nghiên cứu hồ sơ dự án đầu tư mở rộng phần mềm VTOS, VSL</t>
  </si>
  <si>
    <t>- Thu thập ý kiến các bộ phận Lần 1: từ 24/3 - 03/3.
- Thu tập ý kiến lần 2: từ 06/3 - 15/3
- Từ 10/3 Khảo sát lấy ý kiến trực tiếp các bộ phận SX
- Tổng hợp ý kiến, xây dựng sơ bộ tính năng: 17/3 - 28/3
- Đặc tả chức năng phần mềm lần 1: 18/4/2025
- Gửi các Bộ phận Góp ý: 19/4</t>
  </si>
  <si>
    <t>- Các đơn vị chậm góp ý, đóng góp xây dựng
- Các văn bản liên quan hạn chế.
- Đề xuất cho tiếp cận phần mềm Client để tiếp cận quy trình làm hàng thực tế để xây dựng các tính năng/chức năng cho phần mềm mới.</t>
  </si>
  <si>
    <t xml:space="preserve"> - Đang phối hợp thống nhất giải pháp và Quy trình thực hiện.
- Hoàn tất đưa lên môi trưởng thử nghiệm ngày 15/4-20/4. 
- Đang phối hợp kiểm tra kỹ thuật 3 bên: CEH - OP - BIDV dự kiến sẽ đưa lên môi trường chính thức cuối tháng 4 - đầu tháng 5.</t>
  </si>
  <si>
    <t>- Phát sinh chi phí (p.TCKT) và cần phối hợp với nhiều bên để triển khai.
- Bên CEH sẽ triển khai giải pháp miễn phí</t>
  </si>
  <si>
    <t>- Đã lên bản vẽ sơ bộ ngày 24/4. Đang phối hợp GD hoàn thiện.</t>
  </si>
  <si>
    <t>- Phối hợp với VNPT khảo sát.
- Chưa lên được phương án</t>
  </si>
  <si>
    <t>- Tuyến cáp đi liên thông thuộc Khu CN nên khó khăn trong việc lựa chọn nhà thầu.</t>
  </si>
  <si>
    <t>- Đã lập phương án sợ bộ và xin ký kiến thực hiện</t>
  </si>
  <si>
    <t>Phối hợp với BIDV - CEH - ONEPAGE Triển khai cổng thanh toán điện tử (Thẻ nội địa) trên VSL (ePort)
- Đưa giải pháp Lên môi trường: Dự kiến 22/4.
- Golive: 10/5</t>
  </si>
  <si>
    <t>- Các đơn vị chậm góp ý, đóng góp xây dựng dẫn đến thiếu thông tin thực hiện.</t>
  </si>
  <si>
    <t>- Nhắc nhở các bộ phận góp ý, chủ động căn cứ chức năng nhiệm vụ của các bộ phận để tham mưu phân quyền cho Ban lãnh đạo.</t>
  </si>
  <si>
    <t>- Xem lại quy trình thủ tục đầu tư, Thẩm định giá và chuẩn bị trước các văn bản</t>
  </si>
  <si>
    <t xml:space="preserve">Phối hợp với Ban HCBV Rà soát hệ thống Camera (Góc quay - chất lượng thiết bị) </t>
  </si>
  <si>
    <t>- Trao đổi thông tin góp ý và đề nghị làm đề xuất</t>
  </si>
  <si>
    <t>- Đã tổ chức đào tạo, giới thiệu ngày 13/3. Đang thực hiện báo cáo phân quyền (Thịnh).
- Lấy ký kiến các bộ phận: 31/3 chưa thấy đơn vị nào phản hồi.
- Đã góp ý hoàn tất BB cho Thịnh ngày 14/4: Chưa thấy trình ký</t>
  </si>
  <si>
    <t>- Thực hiện kiểm thử với các bên liên quan, đánh giá lại tính năng và cho golive</t>
  </si>
  <si>
    <t>- Lên PA thử nghiệm ngày 5/3, lắp đặt thử nghiệm lần 2 ngày 26/3.
- Điều chỉnh bổ sung P/A lắp đặt thử nghiệm lần 3 ngày 4/4.
- Thực hiện tờ trình xin chủ trương ngày 10/4. Thi Công hoàn thiện ngày 16/4. Đang làm HSTT</t>
  </si>
  <si>
    <t>Lắp đặt 01 CPU cũ cho EIR2 phục vụ trình chiếu sơ đồ hạ cont theo đề xuất của B.KTĐĐ Cảng LBT</t>
  </si>
  <si>
    <t>Làm tờ trình xin trang bị laptop cho P.Logistics</t>
  </si>
  <si>
    <t>Làm hồ sơ thanh toán mực in tháng 03/2025</t>
  </si>
  <si>
    <t>Làm tài liệu cho ĐHCĐ</t>
  </si>
  <si>
    <t>Cài đặt các ứng dụng cho laptop mới và bàn giao laptop cho P.Logistics</t>
  </si>
  <si>
    <t>Làm hồ sơ thanh toán thiết bị tháng 03/2025</t>
  </si>
  <si>
    <t>Học lớp Bối dưỡng kiến thức Đảng</t>
  </si>
  <si>
    <t>Làm tờ trình xin trang bị 02 máy tính bộ cho P.DACN</t>
  </si>
  <si>
    <t>Làm tờ trình xin trang bị máy in cho B.KSNB</t>
  </si>
  <si>
    <t>Cài đặt các ứng dụng cho máy tính mới P.DACN máy 1</t>
  </si>
  <si>
    <t>Bàn giao máy tính mới P.DACN máy 1</t>
  </si>
  <si>
    <t>Kiểm tra và khắc phục máy tính B.KTTV bị lỗi excel</t>
  </si>
  <si>
    <t>Đi kiểm tra chung một số camera với Trưởng Ban HCBV-LBT</t>
  </si>
  <si>
    <t>Cài đặt các ứng dụng cho máy tính mới P.DACN máy 2</t>
  </si>
  <si>
    <t>Kiểm tra và khắc phục máy tính của GĐ P.HCTH bị lỗi cài phần mềm Sketchup</t>
  </si>
  <si>
    <t>Cài phần mềm xem camera của cảng GD cho máy tính anh Quang Sơn và máy tính của B.HCBV-GD.</t>
  </si>
  <si>
    <t>Bàn giao máy tính mới P.DACN máy 2</t>
  </si>
  <si>
    <t>- Tham dự hội Đại hội Đảng toàn quốc trực tuyến.</t>
  </si>
  <si>
    <t>Khiểm tra và khắc phục máy tính B.KTTV (Bảy) không mở file word được.</t>
  </si>
  <si>
    <t>Làm hồ sơ thanh toán máy in cho B.KSNB</t>
  </si>
  <si>
    <t>Kiểm tra máy in nhiệt tại cửa số 4 khu Eir1 bị in mờ.</t>
  </si>
  <si>
    <t>Làm hồ sơ thanh toán máy tính bộ (bộ 1) cho P.DACN.</t>
  </si>
  <si>
    <t>Sửa lại nội dung Phiếu Biểu Quyết theo yêu cầu của Thư ký</t>
  </si>
  <si>
    <t>In lại 03 phiếu để phục vụ ĐHCĐ theo yêu cầu của Thư ký</t>
  </si>
  <si>
    <t>Làm hồ sơ thanh toán mực in tháng 04/2025</t>
  </si>
  <si>
    <t>Phát sinh</t>
  </si>
  <si>
    <t>Sau khi kt thì ko bị gì, nếu muốn rõ hơn tại vị trí đó thì báo bên phần mềm họ đổi Font lại tại vị trí đó.</t>
  </si>
  <si>
    <t>Đang làm</t>
  </si>
  <si>
    <t>Kiểm tra máy tính HQ cảng GD</t>
  </si>
  <si>
    <t>- Phần mềm xem camera không kết nối được nên bên HQ chưa xem được camera cảng GD.
- Nguyên nhân là do Đang kiểm tra/cấu hình lại kết nối sau khi di dời PMC tại GD.
- Đã hoàn thành.</t>
  </si>
  <si>
    <t>- Chưa thực hiện</t>
  </si>
  <si>
    <t>- Đã lên phương án đang gửi Cảng GD kiểm tra góp ý</t>
  </si>
  <si>
    <t>- Đã lập biên bản kiểm tra hiện trạng, chưa nhận được đề xuất từ phòng KVL</t>
  </si>
  <si>
    <t>Đi kiểm tra hệ thống Tủ kỹ thuật Camera và thống nhất vị trí đấu nối diện đầu vào.</t>
  </si>
  <si>
    <t>Vận hành hệ thống phần mềm</t>
  </si>
  <si>
    <t>- Đảm bảo hệ thống phần mềm vận hành xuyên suốt, đáp ứng nhu cầu SXKD 24/7</t>
  </si>
  <si>
    <t>Hỗ trợ, nghiên cứu, cải tiến quy trình khai thác SXKD bằng phần mềm</t>
  </si>
  <si>
    <t>Hỗ trợ các Cảng, Phòng, Ban nghiệp vụ vận hành phần mềm đáp ứng nhu cầu SXKD</t>
  </si>
  <si>
    <t>Quản trị hệ thống CSDL các phần mềm tại công ty</t>
  </si>
  <si>
    <t>Hàng tuần</t>
  </si>
  <si>
    <t>Đảm bảo CSDL vận hành toàn bộ hệ thống phần mềm
Backup CSDL thủ công</t>
  </si>
  <si>
    <t>Số lượng CSDL nhiều, dung lượng cao. Backup thủ công khó khăn</t>
  </si>
  <si>
    <t>Hỗ trợ, hướng dẫn người dùng sử dụng phần mềm phục vụ SXKD</t>
  </si>
  <si>
    <t>Lập hồ sơ, trình ký hợp đồng trang bị bản quyền cho phần mềm ECUS_KNQ đang cài đặt tại máy tính ông Đặng Thành Phú và Bà Đỗ Thị Mỹ Hạnh</t>
  </si>
  <si>
    <t>- Đã hoàn tất gia hạn License
- Đang hoàn tất hồ sơ thủ tục: nghiệm thu, thanh toán</t>
  </si>
  <si>
    <t>Lập báo cáo về việc triển khai hệ thống Backup tự động</t>
  </si>
  <si>
    <t>- Phối hợp với nhà thầu lên phương án thực hiện.
- Phối hợp với A Thành triển khai giải pháp NAS.</t>
  </si>
  <si>
    <t xml:space="preserve">Số lượng thiết bị, data nhiều, cần theo dõi lượng </t>
  </si>
  <si>
    <t>Nghiệm thu, thanh toán hồ sơ trang bị Token và CTS với Nacencomm</t>
  </si>
  <si>
    <t>Hoàn tất</t>
  </si>
  <si>
    <t>- HSTT Bị sai, chưa trình ký được.</t>
  </si>
  <si>
    <t>Hỗ trợ Cảng LBT và Cảng GD cài đặt, cấu hình máy tính, laptop phục vụ công việc của từng đơn vị.</t>
  </si>
  <si>
    <t>- Hỗ trợ người dùngthuần thục sử dụng các chức năng trên phần mềm.
- Hỗ trợ người dùng điều chỉnh, xử lý dữ liệu nhập sai/thiếu trên phần mềm</t>
  </si>
  <si>
    <t>Các Cảng, phòng, Ban nghiệp vụ gửi chậm làm ảnh hưởng tiến độ</t>
  </si>
  <si>
    <t>Tổ chức hướng dẫn sử dụng phần mềm VTOS và VSL cho Quản lý cấp trung và lập báo cáo đề xuất phân quyền</t>
  </si>
  <si>
    <r>
      <t xml:space="preserve">- Đã tổ chức đào tạo, giới thiệu ngày 13/3. Đang thực hiện báo cáo phân quyền (Thịnh).
- Lấy ký kiến các bộ phận: 31/3 chưa thấy đơn vị nào phản hồi.
- Đã hoàn tất BB ngày 14/4.
</t>
    </r>
    <r>
      <rPr>
        <sz val="12"/>
        <color rgb="FFFF0000"/>
        <rFont val="Times New Roman"/>
        <family val="1"/>
      </rPr>
      <t>- Chưa trình ký được.</t>
    </r>
  </si>
  <si>
    <t>Triển khai EIR điện tử:
- Ký hợp đồng ngày 14/3 (theo Giấy UQ).
- Bàn giao nghiệm thu</t>
  </si>
  <si>
    <t>- Ngày 14/3 (theo Giấy UQ). 
- Phối hợp triển khai và Hoàn tất nghiệm thu kỹ thuật. ngày 27/3.
- Chuyển CKS cho CEH thực hiện Hoàn tất ngày 4/4</t>
  </si>
  <si>
    <t>- Nội dung này triển khai chậm do phụ thuộc vào đối tác (Cung cấp CKS và CEH)</t>
  </si>
  <si>
    <t>Phối hợp với BIDV - CEH - ONEPAGE Triển khai cổng thanh toán điện tử (Thẻ nội địa) trên VSL (ePort)
- Đưa giải pháp Lên môi trường: Dự kiến 22/4. Dự kiến Golive: 10/5</t>
  </si>
  <si>
    <t>- Họp trực tuyến trên phần mềm Microsoft Teams Ban HC-CNTT kính mời đại diện Cty CEH và Ban KTĐĐ Cảng LBT - Thời gian: 14h00 ngày 04/4/2025.</t>
  </si>
  <si>
    <t>Chậm Trễ</t>
  </si>
  <si>
    <r>
      <rPr>
        <b/>
        <sz val="12"/>
        <rFont val="Times New Roman"/>
        <family val="1"/>
      </rPr>
      <t>Phối hợp lập hồ sơ kỹ thuật phần mềm GTOS</t>
    </r>
    <r>
      <rPr>
        <sz val="12"/>
        <rFont val="Times New Roman"/>
        <family val="1"/>
      </rPr>
      <t>:
- Phối hợp cùng nhà thầu hoàn tất tài liệu đặc tả quy trình khai thác hàng tổng hợp.</t>
    </r>
  </si>
  <si>
    <t>- Ký bàn giao thiết bị tổng thể (Chi tiết từng thiết bị đã lập trước đó) với người dùng (DLG, Ban KTDD Cảng LBT): 
- Bàn giao 15 bộ thiết bị dành cho xe nâng và 04 thiết bị cho Tally.</t>
  </si>
  <si>
    <t>Nghiên cứu, hoàn thiện giải pháp VTOS cho xe trung chuyển/tally</t>
  </si>
  <si>
    <t>- Đơn vị khai thác CảngLBT Đề nghị chưa triển khai trên xe TC, có thể triển khai lắp đặt thiết bị trước.</t>
  </si>
  <si>
    <t xml:space="preserve">Nghiên cứu triển khai License Office, Windows, Windows Server, AutoCad </t>
  </si>
  <si>
    <t>- Nghiên cứu loại License phù hợp và số lượng để trang bị</t>
  </si>
  <si>
    <t>Nghiệm thu, hoàn tất hồ sơ thanh toán bảo trì phần mềm Portal</t>
  </si>
  <si>
    <t>- Tổ chức nghiệm thu, thanh toán theo qui định</t>
  </si>
  <si>
    <t>Triển khai Hợp đồng bảo trì phần mềm LOVAD</t>
  </si>
  <si>
    <t xml:space="preserve">- Thanh lý hợp đồng cũ bằng công văn
- Triển khai hợp đồng mới </t>
  </si>
  <si>
    <t>- Rà soát lại HSTT Bị sai, đề nghị Vendor bổ sung gấp.</t>
  </si>
  <si>
    <r>
      <t>Nghiên cứu giải pháp Hợp đồng điện tử - chuyển đối số trong việc quản lý hồ sơ, hợp đồng và các chứng từ nội bộ (</t>
    </r>
    <r>
      <rPr>
        <i/>
        <sz val="12"/>
        <color theme="1"/>
        <rFont val="Times New Roman"/>
        <family val="1"/>
      </rPr>
      <t>tờ trình, đề xuất, nghiệm thu….)</t>
    </r>
  </si>
  <si>
    <r>
      <rPr>
        <b/>
        <sz val="12"/>
        <color theme="1"/>
        <rFont val="Times New Roman"/>
        <family val="1"/>
      </rPr>
      <t>Phối hợp lập hồ sơ kỹ thuật phần mềm GTOS</t>
    </r>
    <r>
      <rPr>
        <sz val="12"/>
        <color theme="1"/>
        <rFont val="Times New Roman"/>
        <family val="1"/>
      </rPr>
      <t>:
- Hoàn tất tài liệu đặc tả quy trình và thống nhất yêu cầu chức năng quản lý/quản trị phần mềm</t>
    </r>
  </si>
  <si>
    <t>- Phối hợp cùng nhà thầu, các Cảng/Phòng/Ban, thường xuyên nhắc nhở bám sát tiến độ công việc.</t>
  </si>
  <si>
    <t>- Phối hợp với các bên hoàn tất ký biên bản và lưu hồ sơ.</t>
  </si>
  <si>
    <t>Upgrade firmware cho các Router Draytek ở Gò Dầu và Dologco do bị lỗi và bị tấn công ngày 24/03/2025</t>
  </si>
  <si>
    <t>Đã upgrade firmware và test ổn định</t>
  </si>
  <si>
    <t>Xử lý lỗi mất kết nối wifi khu vực Eir1</t>
  </si>
  <si>
    <t>Đã hoạt động ổn định</t>
  </si>
  <si>
    <t>Xử lý lỗi máy in cửa 4 khu vực EIR2</t>
  </si>
  <si>
    <t>Đã hoạt động và hướng dẫn người dùng lỗi</t>
  </si>
  <si>
    <t>Đặt mua và test bút trình chiếu cho P.TGĐ Tuấn Đỗ</t>
  </si>
  <si>
    <t>Đã test thiết bị và giải pháp</t>
  </si>
  <si>
    <t>Xử lý lỗi mất kết nối internet phòng Kinh Doanh</t>
  </si>
  <si>
    <t>Lỏng đầu mạng tại swtich nhánh. Đã găm lại</t>
  </si>
  <si>
    <t>Thực hiện việc kiểm kê tài sản phòng máy chủ</t>
  </si>
  <si>
    <t>Đã thực hiện xong kiểm kê</t>
  </si>
  <si>
    <t>Cài đặt phần mềm Office 2016 Standard bản quyền cho Liên (Kinh Doanh)</t>
  </si>
  <si>
    <t>Đã kích hoạt bản quyền và hoạt động ổn định</t>
  </si>
  <si>
    <t>Cài đặt in ấn từ máy photocopy cho nhân viên thực tập Ban Tài vụ Cảng Gò Dầu theo yêu cầu của Mrs. Thanh</t>
  </si>
  <si>
    <t>Đã cài và hoạt động ổn định</t>
  </si>
  <si>
    <t>Lắp đặt thiết bị kết nối HDMI không dây phòng họp Hội trường C2</t>
  </si>
  <si>
    <t>Đã lắp đặt, test kết nối và viết hướng dẫn kết nối</t>
  </si>
  <si>
    <t>3.10</t>
  </si>
  <si>
    <t>Xử lý lỗi mất kết nối internet phòng Kỹ thuật Công trình</t>
  </si>
  <si>
    <t>Đã kiểm tra, nguyên nhân do tràn cache, tắt nguồn thiết bị và mở lại</t>
  </si>
  <si>
    <t>3.11</t>
  </si>
  <si>
    <t xml:space="preserve">Nghiên cứu giải pháp kết nối tivi hội trường C2 với amply </t>
  </si>
  <si>
    <t>Đã test và đặt mua thiết bị kết nối bluetooth không dây</t>
  </si>
  <si>
    <t>3.12</t>
  </si>
  <si>
    <t>Hỗ trợ trình chiếu họp chi bộ thường kỳ 04/2025</t>
  </si>
  <si>
    <t xml:space="preserve">Đã thực hiện </t>
  </si>
  <si>
    <t>3.13</t>
  </si>
  <si>
    <t>Viết tài liệu hướng dẫn kết nối Tivi hội trường C2 và phòng họp 3.3</t>
  </si>
  <si>
    <t>Đã thực hiện và gửi nhóm IT của Cảng Đồng Nai</t>
  </si>
  <si>
    <t>3.14</t>
  </si>
  <si>
    <t>Thiết kế Maket và trực kỹ thuật họp Hội nghị quán triệt, triển khai thực hiện Nghị quyết Hội nghị lần thứ 11 BCH Trung ương Đảng khóa XIII</t>
  </si>
  <si>
    <t>Đã thực hiện</t>
  </si>
  <si>
    <t>3.15</t>
  </si>
  <si>
    <t>Đặt mua và test bút trình chiếu cho hội trường C2</t>
  </si>
  <si>
    <t>Đã nhận thiết bị và test kết nối ổn định</t>
  </si>
  <si>
    <t>3.16</t>
  </si>
  <si>
    <t>Hỗ trợ kỹ thuật họp hội đồng thường niên Công ty Dịch vụ Cảng</t>
  </si>
  <si>
    <t>- Đã thực hiện xong khảo sát.
- Đã làm tờ trình, ủy quyền, hợp đồng
- Đã xong cấu hình kiểm thử
- Đã di dời, lắp đặt
- Thực hiện cấu hình:
  + Cấu hình Wan (Cân bằng tải)
  + Cấu hình Lan (Fail Over)
  + Cấu hình VPN (Viettel + VPNT)
  + Cấu hình VPN Mobile
  + Cấu hình Static Nat
  + Cấu hình Policy Allow Internet, Mail, Web + FTP Proxy, IPS, Gateway Antivirus, Botnet Detection, Geolocation và các ứng dụng cho phép truy cập từ xa.
- Đã làm hồ sơ thanh quyết toán
- Hoàn tất</t>
  </si>
  <si>
    <t>- Làm tờ trình xin chủ trương
- Cấu hình và lắp đặt thiết bị
- Làm hồ sơ thanh quyết toán
- Hoàn tất</t>
  </si>
  <si>
    <t xml:space="preserve"> - Đường Internet + Điện thoại nội bộ của VNPT cần cấu hình đặc biệt mới sử dụng được</t>
  </si>
  <si>
    <t>Kế hoạch công việc tháng tiếp theo: (Từ ngày 20/04/2025 đến hết ngày 20/05/2025)</t>
  </si>
  <si>
    <t>- Hoàn tất Nghiệm thu 20/3 và làm hồ sơ thanh toán ngày 2/4</t>
  </si>
  <si>
    <t>- Phát sinh chi phí đầu tư, không có căn cứ lập dự toán để trình xin chủ trương</t>
  </si>
  <si>
    <t>- Đề nghị Liệt kê hỗ trợ cv cụ thể (Cho ai - lúc nào…) 
- Xem lại mẫu báo cáo của A Thành để làm nội dung này.</t>
  </si>
  <si>
    <t>Theo sự Vụ</t>
  </si>
  <si>
    <t>- Do di dời HT mạng tại phòng máy chủ nên việc kết nối ra ngoài (VPN) bị thay đổi, cần cấu hình lại và kiểm thử.</t>
  </si>
  <si>
    <t>- Hoàn tất Nghiệm thu 20/3</t>
  </si>
  <si>
    <t>4.1</t>
  </si>
  <si>
    <t>4.2</t>
  </si>
  <si>
    <t>5.1</t>
  </si>
  <si>
    <t>5.2</t>
  </si>
  <si>
    <t>Theo sự vụ</t>
  </si>
  <si>
    <t>Đồng Nai, ngày 29 tháng 4 năm 2025</t>
  </si>
  <si>
    <t>- Đã kiểm tra rà soát công việc và lập báo cáo sơ bộ.
- Gửi các nhân sự bổ sung ngày 28/4</t>
  </si>
  <si>
    <t>- Nhân sự chậm trễ trong việc báo cáo, chưa bổ sung kịp thời các nội dung yêu cầu</t>
  </si>
  <si>
    <t>- Đang nghiên cứu giải pháp giám sát mạng tốt hơn, được dựng trên máy chủ của Cảng</t>
  </si>
  <si>
    <t>- Phát hiện một số sự cố gián đoạn, đã cử nhân sự thực hiện khắc phục kịp thời</t>
  </si>
  <si>
    <t>4.3</t>
  </si>
  <si>
    <t>4.4</t>
  </si>
  <si>
    <t>4.5</t>
  </si>
  <si>
    <t>4.6</t>
  </si>
  <si>
    <t>4.7</t>
  </si>
  <si>
    <t>Thực hiện tờ trình xin chủ trương thi công Camera Cầu Cảng GDA</t>
  </si>
  <si>
    <t>4.8</t>
  </si>
  <si>
    <t>4.9</t>
  </si>
  <si>
    <t>4.10</t>
  </si>
  <si>
    <t>4.11</t>
  </si>
  <si>
    <t>4.12</t>
  </si>
  <si>
    <t>4.13</t>
  </si>
  <si>
    <t>4.14</t>
  </si>
  <si>
    <t>4.15</t>
  </si>
  <si>
    <t>- Khảo sát lại hiện trạng hệ thống điện và giá đỡ đã lắp trước đó.
- Nghiên cứu phưong án bổ sung thiết bị do phát sinh xe trung chuyển.
- Khảo sát xe trung chuyển mới bàn giao đưa vào sử dụng (dự kiến 28/4)</t>
  </si>
  <si>
    <t>Lập hồ sơ dự án đầu tư mở rộng phần mềm VTOS, VSL</t>
  </si>
  <si>
    <t>4.16</t>
  </si>
  <si>
    <t>4.17</t>
  </si>
  <si>
    <t>4.18</t>
  </si>
  <si>
    <t>Ẩn chi tiết lại dễ đọc báo cáo</t>
  </si>
  <si>
    <r>
      <rPr>
        <b/>
        <sz val="12"/>
        <color indexed="8"/>
        <rFont val="Times New Roman"/>
        <family val="1"/>
      </rPr>
      <t>+ Đầu tư phần mềm GTOS</t>
    </r>
    <r>
      <rPr>
        <sz val="12"/>
        <color indexed="8"/>
        <rFont val="Times New Roman"/>
        <family val="1"/>
      </rPr>
      <t xml:space="preserve">
- Thu thập ý kiến người dùng và cho Vendor khảo sát thực tế ghi nhận lại các tác nghiệp hiện tại.
- Xây dựng các chức năng/tính năng của phần mềm.
</t>
    </r>
    <r>
      <rPr>
        <sz val="12"/>
        <color rgb="FFFF0000"/>
        <rFont val="Times New Roman"/>
        <family val="1"/>
      </rPr>
      <t>- Hoàn tất Hồ sơ kỹ thuật và dự toán phần mềm để thực hiện xin chủ trương đầu tư</t>
    </r>
  </si>
  <si>
    <t>4.19</t>
  </si>
  <si>
    <t>- Khối lượng công việc lớn (18 Camera) cần thời gian nghiên cứu và hoàn thiện.
- Chi phí cao do phát sinh hạng mục hạng tầng mạng, đường điện phụ trợ kèm theo.</t>
  </si>
  <si>
    <t>Từ ngày 20/4/2025  đến hết ngày 20/5/2025</t>
  </si>
  <si>
    <t>- Kiểm tra hệ thống:
+ Mất Pha điện khu văn phòng (23h25)
+ Chuyển pha Điện: 23h50
+ Chạy máy phát.
+ Hệ thống Treo luc 4h 19/5 đến 8h30 khôi phục toàn hệ thống.
+ Nguyên nhân: Do cup điện hệ thống Điều hoà ngừng hoạt động, hệ thống quá nhiệt nên tự ngắt.</t>
  </si>
  <si>
    <t>Báo cáo đánh giá KPI Quý 2</t>
  </si>
  <si>
    <t>Báo cáo KQ thực hiện 6 tháng đầu năm</t>
  </si>
  <si>
    <t>- Y/c nhân sự nộp báo cáo đúng hạn và chi tiết (trước ngày 20 hằng tháng). Tổng hợp và đánh giá kết quả.</t>
  </si>
  <si>
    <t>- Rà soát công việc đã thực hiện và lập kế hoạch cv cho tháng tiếp theo.</t>
  </si>
  <si>
    <t>- Rà soát lại công việc và các báo cáo để tổng hợp KQ thực hiện 6 tháng đầu năm</t>
  </si>
  <si>
    <t>Triển khai Golive cổng thanh toán điện tử (Thẻ nội địa) trên VSL (ePort), theo dõi hỗ trợ xử lý sau khi Golive</t>
  </si>
  <si>
    <t>Ký hợp đồng thực hiện, Thi công, nghiệm thu Camera Cầu Cảng GDA</t>
  </si>
  <si>
    <t>Khảo sát lên Phương án thi công Camera Nội bộ khu GDA (dự kiến 12 camera)</t>
  </si>
  <si>
    <t>Hoàn thiện giải pháp VTOS cho xe trung chuyển/tally</t>
  </si>
  <si>
    <t>- Liên hệ vendor khảo sát, trao đổi và lên phương án.
- Thông báo PA cho Cảng GD góp ý và hoàn thiện.</t>
  </si>
  <si>
    <t>- Thực hiện tờ trình, ký kết hợp đồng và tạm ứng cho Vendor sớm.</t>
  </si>
  <si>
    <t>Đ/G KQ</t>
  </si>
  <si>
    <t>Kịp thời</t>
  </si>
  <si>
    <t>Đang TH</t>
  </si>
  <si>
    <t>A. Thực hiện công việc tháng Từ ngày 20/03/2025 đến hết ngày 20/04/2025</t>
  </si>
  <si>
    <t>B. Kế hoạch công việc tháng tiếp theo: (Từ ngày 20/04/2025 đến hết ngày 20/05/2025)</t>
  </si>
  <si>
    <t>- Chưa sắp xếp được thời gian.</t>
  </si>
  <si>
    <t>Làm hồ sơ thanh toán thiết bị tháng 4</t>
  </si>
  <si>
    <t>Nâng cấp máy tính cho B.KTDD Cảng LBT</t>
  </si>
  <si>
    <t>- Đề Xuất Chưa thực hiện</t>
  </si>
  <si>
    <t>- Theo dõi và lập hồ sơ hằng tháng kịp thời, không để dồn công việc và thực hiện 1 lần</t>
  </si>
  <si>
    <t>Chuẩn bị CCDC phục vụ Đại hội cổ đông</t>
  </si>
  <si>
    <t>- Kiểm tra thiết bị hiện tại, cài đặt, kiểm thử và mang ra vị trí ĐHCĐ</t>
  </si>
  <si>
    <t>Nghiên cứu PA thi công, Báo giá và Làm tờ trình xin chủ trương sửa chữa camera cảng GDA hệ thống cầu cảng GDA01</t>
  </si>
  <si>
    <t>Làm hồ sơ thanh toán Mực in tháng 04/2025</t>
  </si>
  <si>
    <t>hoàn thành</t>
  </si>
  <si>
    <t>Làm hồ sơ thanh toán thiết bị tháng 04/2025</t>
  </si>
  <si>
    <t>Chuẩn bị CCDC phục vụ ĐHCĐ</t>
  </si>
  <si>
    <t>Nâng cấp, bảo trì Máy tính cho các Bộ phận</t>
  </si>
  <si>
    <t>Khắc Phục sự cố Camera</t>
  </si>
  <si>
    <t>Hỗ trợ máy IN, Máy Photo</t>
  </si>
  <si>
    <t xml:space="preserve">Hỗ trợ người dùng </t>
  </si>
  <si>
    <t>Mua sắm CCDC làm việc cho các Bộ phận</t>
  </si>
  <si>
    <t>Mua máy tính cho TB.HCBV Cảng LBT</t>
  </si>
  <si>
    <t>Nâng cấp máy tính cho Ban KTDD Cảng LBT</t>
  </si>
  <si>
    <t>Nâng cấp máy tính cho P. DACN (Tống Tuấn)</t>
  </si>
  <si>
    <t>CÔNG VIỆC THEO CHỨC NĂNG VỊ TRÍ</t>
  </si>
  <si>
    <t>CÁC DỰ ÁN</t>
  </si>
  <si>
    <t>- Kiểm tra và Lập biên bản thiết bị: 6/5
- Lấy báo giá và hoàn tất tờ trình, trình phê duyệt: 14/5</t>
  </si>
  <si>
    <t>- Mua thiết bị và tiến hành nâng cấp: 03/5
- Cài đặt và bàn giao: 05/5.
- Cài đặt phần mềm bổ sung: 6/5 - 7/5</t>
  </si>
  <si>
    <t>- Hoàn thành 
- Cài máy in cho laptop của Trưởng B.KSNB: 22/4
- Chuẩn bị, kiểm tra máy in và đưa ra hội nghị: 23/4</t>
  </si>
  <si>
    <t>Cài Autocad cho máy tính P.DACN (Hòa)</t>
  </si>
  <si>
    <t>Cài máy in màu cho 02 máy tính của B.HCBV-LBT (Dương, Hưng)</t>
  </si>
  <si>
    <t>8.1</t>
  </si>
  <si>
    <t>Thay mực in cho  máy in P.Kinh Doanh</t>
  </si>
  <si>
    <t>8.2</t>
  </si>
  <si>
    <t>Kiểm tra máy in Gate Out không in được</t>
  </si>
  <si>
    <t>8.3</t>
  </si>
  <si>
    <t>Hỗ trợ Cảng Gò Dầu</t>
  </si>
  <si>
    <t>Kiểm tra và khắc phục LBT05-Cam01 bị mất hình</t>
  </si>
  <si>
    <t>6.1</t>
  </si>
  <si>
    <t>Đi gò dầu kiểm tra máy tính và các thiết bị CNTT của Bốt B1, Bốt B2, một số camera ở Bãi B2 bị mất tín hiệu.</t>
  </si>
  <si>
    <t>9.1</t>
  </si>
  <si>
    <t>Kiểm tra và khắc phục LBT04-Cam11-TramKiemSoat bị mất hình</t>
  </si>
  <si>
    <t>6.2</t>
  </si>
  <si>
    <t>6.3</t>
  </si>
  <si>
    <t>6.4</t>
  </si>
  <si>
    <t>6.5</t>
  </si>
  <si>
    <t>Kiểm tra và khắc phục máy tính Cầu K2 bị chập điện cháy dây mạng, dây nguồn, chuột.</t>
  </si>
  <si>
    <t>7.1</t>
  </si>
  <si>
    <t>7.2</t>
  </si>
  <si>
    <t>Kiểm tra khắc phục camera LBT04-Cam11 bị mất tín hiệu</t>
  </si>
  <si>
    <t>Kiểm tra camera Bải Quá Cảnh 6 bị mất tín hiệu</t>
  </si>
  <si>
    <t>6.6</t>
  </si>
  <si>
    <t>Thay card màn hình mới cho máy tính của Giám đốc HCTH</t>
  </si>
  <si>
    <t>7.3</t>
  </si>
  <si>
    <t>Kiểm tra khắc phục báo động của phòng Chủ Tịch bị mất tín hiệu.</t>
  </si>
  <si>
    <t>Kiểm tra khắc phục máy tính sử dụng thư mục scan không hoạt động</t>
  </si>
  <si>
    <t>Update win10 home thành win10 pro cho laptop của p.Logistics (Chính)</t>
  </si>
  <si>
    <t>Kiểm tra khác phục mạng B.KTTV bị rớt</t>
  </si>
  <si>
    <t>7.4</t>
  </si>
  <si>
    <t>7.5</t>
  </si>
  <si>
    <t>7.6</t>
  </si>
  <si>
    <t>7.7</t>
  </si>
  <si>
    <t>9.2</t>
  </si>
  <si>
    <t>Kiểm tra 04 camera LBT04-Cam06, LBT04-Cam07, LBT04-Cam13, LBT04-Cam15 bị mất tín hiệu.</t>
  </si>
  <si>
    <t>- Báo đơn vị camera, ngày 15/5 vào hàn lại dây nhảy quang.</t>
  </si>
  <si>
    <t>- Camera ở trên cao nên đã liên hệ với đơn vị camera vào kiểm tra khắc phục (15/5)</t>
  </si>
  <si>
    <t>- Nguyên nhân là do chuột cắn đứt dây nhảy quang do chuột cắn.
- Ngày 15/5: Phối hợp Vendor khắc phục, 04 camera đã lên hình</t>
  </si>
  <si>
    <t>- Đã bấm lại đầu mạng, kiểm tra thiết bị bên dưới nhưng vẫn chưa lên hình (12/5-13/5).
- Phối hợp Vendor kiểm tra cắm lại đầu mạng trên của camera Bải Quá Cảnh 6 (15/5)</t>
  </si>
  <si>
    <t>- Bấm lại đầu mạng, Camera đã lên hình</t>
  </si>
  <si>
    <t>- Lỏng dây mạng, vệ sinh thiết bị, Camera đã lên hình</t>
  </si>
  <si>
    <t>- Kiểm tra, bấm lại dây mạng kết nối lên Camera. Camera đã lên hình</t>
  </si>
  <si>
    <t>- Kiểm tra mất nguồn Camera (lỏng dây). Camera đã lên hình</t>
  </si>
  <si>
    <t>-  Đơn vị thi công mái tôn Cổng C1 làm hư dây mạng.</t>
  </si>
  <si>
    <t>- Đi lại dây mạng, thay dây nguồn, chuột mới.</t>
  </si>
  <si>
    <t>- Đã kiểm tra. Máy không kéo giấy lên được.
- Tbi còn bảo hành, đơn vị cung cấp vào lấy về kiểm tra và bảo hành ngày 9/5.
- Đã lắp lại ngày 12/5 sau khi Vendor bảo hành thiết bị</t>
  </si>
  <si>
    <t>Cài đặt phần mềm cân cho máy tính cảng GD (PC a Sơn cũ)</t>
  </si>
  <si>
    <t>Gửi lại máy tính, máy in vé mới trang bị dự phòng cho cảng GD.</t>
  </si>
  <si>
    <t>- Bốt B1 bị hư UPS, dã lập biên bản đề nghị thay thế.
- Bốt B2 bị hư màn hình, đã lập biên bản đề nghị thay thế.
- Camera bị mất điện nguồn, đã LH Cảng GD đấu nối lại vào tủ đèn hiện hữu.</t>
  </si>
  <si>
    <t>Làm hồ sơ thanh toán thiết bị thanh toán tháng 05/2025</t>
  </si>
  <si>
    <t>Làm hồ sơ thanh toán mực in tháng 05/2025</t>
  </si>
  <si>
    <t>Làm Tờ trình xin chủ trương cấp thẻ xe ra vào Cảng LBT và thực hiện HSTT</t>
  </si>
  <si>
    <t>7.8</t>
  </si>
  <si>
    <t>Kiểm tra máy tính HQĐN (A Dinh)</t>
  </si>
  <si>
    <t>- Máy hư nguồn, đã báo lại HQĐN sửa chữa thay thế</t>
  </si>
  <si>
    <t>- Kiểm tra tình trạng thiết bị ngày 10/5
- Mua sắm thay thế thiết bị: 10-12/5
- Hoàn tất nâng cấp: 13/5</t>
  </si>
  <si>
    <t>A. Thực hiện công việc tháng Từ ngày 20/04/2025 đến hết ngày 20/05/2025</t>
  </si>
  <si>
    <t>- Đã tìm hiểu cấu hình, đợi đề xuất từ P.KVL sẽ cho thực hiện tờ trình</t>
  </si>
  <si>
    <t>B. Kế hoạch công việc tháng tiếp theo: (Từ ngày 20/05/2025 đến hết ngày 20/06/2025)</t>
  </si>
  <si>
    <t>Cài đặt máy tính, máy In và bàn giao cho B.HCBV-LBT</t>
  </si>
  <si>
    <t>Làm HSTT Máy tính, Máy in của B.HCBV-LBT</t>
  </si>
  <si>
    <t>Đột Xuất</t>
  </si>
  <si>
    <t>Ký hợp đồng thực hiện, Giám Thi công, nghiệm thu Camera Cầu Cảng GDA</t>
  </si>
  <si>
    <t>- Lập biên bản ghi nhận, tìm đơn vị cung cấp báo giá và thực hiện tờ trình</t>
  </si>
  <si>
    <t>- Tìm hiểu nhu cầu sử dụng và cài đặt các phần mềm phục vụ công việc, kết nối tới hệ thống lưu trữ dữ liệu, máy in…</t>
  </si>
  <si>
    <t>- Thực hiện ngay sau khi hoàn tất bàn giao đưa vào sử dụng</t>
  </si>
  <si>
    <t>Hỗ trợ xử lý lỗi kết nối mạng nội bộ và internet từ xa cho khu vực B3-Cảng Gò Dầu</t>
  </si>
  <si>
    <t>Đã phối hợp với nhân viên khu vực B3 - Cảng Gò Dầu khắc phục xong</t>
  </si>
  <si>
    <t>Hỗ trợ xử lý lỗi tắt máy chủ phần mềm Lovad xe qua cổng ở Cảng Gò Dầu</t>
  </si>
  <si>
    <t>Đã phối hợp với nhân viên trực ban - Cảng Gò Dầu xử lý xong</t>
  </si>
  <si>
    <t>Hỗ trợ người dùng Cảng Gò Dầu xử lý nhập liệu trên phần mềm kế toán</t>
  </si>
  <si>
    <t>Đã xong</t>
  </si>
  <si>
    <t>Hỗ trợ Hồ Văn Toàn xử lý không mở file Excel được</t>
  </si>
  <si>
    <t>Tạo tài khoản Banktdd cho phép xem và xem lại hệ thống Camera Kho Ngoại Quan</t>
  </si>
  <si>
    <t>Cài đặt, cấu hình hệ thống wifi cho phòng nghỉ tài xế ở Cảng Gò Dầu</t>
  </si>
  <si>
    <t>Cài đặt, cấu hình hệ thống monitor băng thông cho hệ thống mạng Switch Core, Firewall của Cảng Gò Dầu</t>
  </si>
  <si>
    <t>Kiểm tra máy tính 06 khu vực EIR2</t>
  </si>
  <si>
    <t>Load chậm do máy tính cập nhật bản vá lỗi - Đã xong</t>
  </si>
  <si>
    <t>Hỗ trợ phòng Kho vận test trình chiếu và bút chiếu phục vụ cho việc tiếp đoàn ban giám hiệu và sinh viên trường Đại học Giao thông Vận tải ngày 06/5/2025</t>
  </si>
  <si>
    <r>
      <t xml:space="preserve">Lắp đặt, cấu hình thiết bị wifi </t>
    </r>
    <r>
      <rPr>
        <b/>
        <sz val="12"/>
        <rFont val="Times New Roman"/>
        <family val="1"/>
      </rPr>
      <t>PDN-KHACH</t>
    </r>
    <r>
      <rPr>
        <sz val="12"/>
        <rFont val="Times New Roman"/>
        <family val="1"/>
      </rPr>
      <t xml:space="preserve"> nhằm hỗ trợ số lượng kết nối cho hội trường C2</t>
    </r>
  </si>
  <si>
    <t>Xử lý, khắc phục sự cố mất internet nhà cung cấp dịch vụ VNPT</t>
  </si>
  <si>
    <t>- Thực hiện Nat port cần thiết của máy chủ Vtos ra internet thông qua nhà cung cấp dịch vụ Viettel.
- Thực hiện trỏ tên miền sub-domain về địa chỉ nhà cung cấp dịch vụ Viettel</t>
  </si>
  <si>
    <t>Hỗ trợ phòng Kho vận kết nối và xuất hình ảnh lên tivi hội trường C2 trình chiếu phục vụ cho việc tiếp đoàn ban giám hiệu và sinh viên trường Đại học Giao thông Vận tải ngày 12/5/2025</t>
  </si>
  <si>
    <t xml:space="preserve">Hỗ trợ phòng Kho vận kết nối và xuất hình ảnh lên tivi phòng họp 3.3 tiếp đoàn công ty Sailun đến tham quan </t>
  </si>
  <si>
    <t>Hỗ trợ khu vực B2 Cảng Gò Dầu khắc phục sự cố mất internet</t>
  </si>
  <si>
    <t>- Mất tín hiệu internet do hư adapter nguồn của Converter.
- Đã thay thế nguồn và chuyển thiết bị dự phòng về cho Ban Hành chính Bảo vệ Cảng Gò Dầu.
- Hướng dẫn nhân viên khu vực B2 Cảng Gò Dầu không tự ý chuyển đổi dây mạng của thiết bị wifi gây ảnh hưởng đến việc bị cấp phát địa chỉ IP</t>
  </si>
  <si>
    <t>Cấu hình và thay thế thiết bị wifi cho phòng Tài xế của Cảng Gò Dầu B</t>
  </si>
  <si>
    <t>Cài đặt phần mềm cho nhân viên Mỹ Thanh (Gò Dầu)</t>
  </si>
  <si>
    <t>- Cài đặt phần mềm Client phục vụ kết nối điều độ.
- Cài đặt máy photocopy Tài vụ và Hành chính Bảo vệ
- Cài đặt kết nối Portal và Mail. Tuy nhiên chưa có tài khoản.</t>
  </si>
  <si>
    <t>3.17</t>
  </si>
  <si>
    <t>Tối ưu hóa máy tính cho chị Hồng Gò Dầu</t>
  </si>
  <si>
    <t>3.18</t>
  </si>
  <si>
    <t>Kiểm tra hệ thống mạng phòng KTCT</t>
  </si>
  <si>
    <t>3.19</t>
  </si>
  <si>
    <t>Hỗ trợ edit và trình chiếu slide powerpoint họp chi bộ thường kỳ</t>
  </si>
  <si>
    <t>3.20</t>
  </si>
  <si>
    <t>Phối hợp, hỗ trợ đơn vị vendor và Dologco cài đặt, cấu hình thiết bị router mới</t>
  </si>
  <si>
    <t xml:space="preserve"> Đã xong:
- Cấu hình Wan, Lan trên router
- Cấu hình VPN Site to site trên router
- Cấu hình Policy Routing nhằm kết nối vừa internet và vpn ổn định.</t>
  </si>
  <si>
    <t>Cải tạo hệ thống dây mạng, hệ thống dây kết nối tại các phòng làm việc Kinh doanh, Kỹ thuật Công trình, Tài chính Kế hoạch và CEO</t>
  </si>
  <si>
    <t>Thủ tục xin cấp máy mới cho nhân viên Đặng Thành Phú - Trưởng Ban Nghiệp vụ Tổng hợp - Kho vận Logictis</t>
  </si>
  <si>
    <t>- Tờ trình ngày 06/5/2025
- Hoàn tất hồ sơ kỹ thuật, thủ tục: 15/5/2025</t>
  </si>
  <si>
    <t>Thủ tục xin cấp máy mới cho nhân viên Trần Thị Hải - Nhân viên phòng Hành chính Tổng hợp</t>
  </si>
  <si>
    <t>- Tờ trình:29/4/2025
- Hoàn tất kỹ thuật, hồ sơ thủ tục 07/5/2025</t>
  </si>
  <si>
    <t>- Tờ trình: 29/4/2025
- Thi công: 10/5/2025
- Hoàn tất hồ sơ kỹ thuật, thủ tục: 14/5/2025</t>
  </si>
  <si>
    <t>Nghiên cứu giải pháp hệ thống Cảnh bảo, theo dõi An toàn cho Phòng Máy chủ (nhiệt độ, độ ẩm, điện, máy lạnh, Camera an ninh…)</t>
  </si>
  <si>
    <t>- Tìm hiểu nghiên cứu giải pháp.
- Liên hệ Vendor lên phương án.
- Thực hiện tờ trình xin chủ trương</t>
  </si>
  <si>
    <t>Báo cáo chi tiết công việc hằng tháng</t>
  </si>
  <si>
    <t>- Đáp ứng</t>
  </si>
  <si>
    <t>-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 Cần lên kịch bản phối hợp và xử lý khi có sự cố, đảm bảo không bị động khi sự cố xảy ra.</t>
  </si>
  <si>
    <t>Chưa thấy báo cáo lại tiến độ Công việc này</t>
  </si>
  <si>
    <t>- Kiểm tra theo dõi hằng ngày, khi có sự cố xảy ra cần phải kịp thời check/test HT ngay.</t>
  </si>
  <si>
    <t>- Theo dõi các Nhóm hỗ trợ, bố trí sắp xếp hỗ trợ kịp thời, nếu không xử lý kịp thời thì đễ xuất Bộ phận hỗ trợ</t>
  </si>
  <si>
    <t>- Hỗ trợ các Cảng, Phòng, Ban nghiệp vụ vận hành phần mềm đáp ứng nhu cầu SXKD</t>
  </si>
  <si>
    <t>- Đảm bảo CSDL vận hành toàn bộ hệ thống phần mềm
- Backup CSDL thủ công</t>
  </si>
  <si>
    <t>- Số lượng CSDL nhiều, dung lượng cao. Backup thủ công khó khăn.
- Đề xuất nghiên cứu giải pháp tự động</t>
  </si>
  <si>
    <t>Hỗ trợ người dùng các công việc khác</t>
  </si>
  <si>
    <t>5.3</t>
  </si>
  <si>
    <t>5.4</t>
  </si>
  <si>
    <t>5.5</t>
  </si>
  <si>
    <t>5.6</t>
  </si>
  <si>
    <t>5.7</t>
  </si>
  <si>
    <t>5.8</t>
  </si>
  <si>
    <t>5.9</t>
  </si>
  <si>
    <t>5.10</t>
  </si>
  <si>
    <t>5.11</t>
  </si>
  <si>
    <t>Thực hiện ký kết các hợp đồng/gia hạn hợp đồng</t>
  </si>
  <si>
    <t>- Chưa có báo cáo gì về nội dung này</t>
  </si>
  <si>
    <t>- Đang nghiên cứu giải pháp.</t>
  </si>
  <si>
    <t>Phát triển phần mềm VTOS</t>
  </si>
  <si>
    <t>- Cần xem lại hiệu quả công việc được giao</t>
  </si>
  <si>
    <t>1.1</t>
  </si>
  <si>
    <t>1.2</t>
  </si>
  <si>
    <t>Phát triển/vận hành phần mềm VTOS</t>
  </si>
  <si>
    <t>1.3</t>
  </si>
  <si>
    <t>Chậm trễ</t>
  </si>
  <si>
    <t>Tốt, tuy nhiên cần chủ động và nhanh gọn hơn trong công việc. Vẫn có tình trạng bị phàn nàn về công việc triển khai chậm trễ đặc biệt là khu vực Cảng Gò Dầu</t>
  </si>
  <si>
    <t>Làm thủ tục Gia hạn tên miền</t>
  </si>
  <si>
    <t>Tham gia Tư vấn thiết kế, giám sát thi công hệ thống mạng cho Toà nhà VP mới - Phối hợp với Phòng KTCT và Vendor thi công hệ thống mạng</t>
  </si>
  <si>
    <t>- Nghiên cứu sơ đồ hệ thống mạng trên bản vẽ hiện hữu.
- Nghiên cứu các phương án kết nối toàn nhà mới - cũ
- Tính toán các vị trí nốt mạng LAN để đặt Outlet
- Thiết kế lại hệ thống mạng LAN cho HQ tại Lầu 1 (bao gồm phòng máy chủ)</t>
  </si>
  <si>
    <t>- Lên bản vẽ sơ bộ ngày 24/4.
- Phối hợp GD hoàn thiện ngày 29/4.
- Phối hợp lên PA bản vẽ: 6/5
- Chuẩn bị sơ bộ tờ trình: 7/5 - 8/5.
- Phối hợp hoàn thiện PA thi công ngày 17/5 - 19/5.
- Hoàn thiện báo giá: 20/5
- Đang hoàn thiện thực hiện tờ trình xin chủ trương dự kiến 30/5 hoàn tất</t>
  </si>
  <si>
    <t>1.4</t>
  </si>
  <si>
    <t>Phối hợp triển khai: "Chức năng điều chỉnh/thay thế hóa đơn trên phân hệ ebilling của VTOS"</t>
  </si>
  <si>
    <t xml:space="preserve"> Công tác Đầu tư phần mềm GTOS</t>
  </si>
  <si>
    <t>Dựa theo phần mềm Client (phần mềm hiện hữu) để lập khung sườn chức năng cho việc thiết lập Demo phần mềm phù hợp với tình hình SXKD hiện tại của PDN và phù hợp với chuyển đổi số.</t>
  </si>
  <si>
    <t>- Xây dựng các chức năng/tính năng của phần mềm.</t>
  </si>
  <si>
    <t>2.1</t>
  </si>
  <si>
    <t>- Cần Lập báo cáo, tờ trình xin ý kiến Ban Lãnh đạo chỉ đạo các Cảng, Phòng, Ban Nghiệp Vụ phối hợp chặt chẽ để triển khai thống nhất các nội dung: chức năng, báo cáo, thống kê, quản trị... cần có.
- Hoàn thiện Tài liệu đặc tả chức năng của phần mềm GTOS.</t>
  </si>
  <si>
    <t>2.2</t>
  </si>
  <si>
    <t>- Tìm hiểu nhu cầu sử dụng để mua sắm hợp lý.
- Chú ý Cài đặt các phần mềm phục vụ công việc, kết nối tới hệ thống lưu trữ dữ liệu, máy in…</t>
  </si>
  <si>
    <t>- Hỗ trợ người dùng sử dụng các chức năng trên phần mềm.
- Hỗ trợ người dùng điều chỉnh, xử lý dữ liệu nhập sai/thiếu trên phần mềm thông qua nhóm hỗ trợ chung/utraview.
- Việc hỗ trợ/theo dõi nhóm vận hành các phần mềm cần theo sát, khi có phản ảnh cần phản hồi/liên hệ Vendor hỗ trợ (kể cả ngoài giờ Hành chính)</t>
  </si>
  <si>
    <t>- Phân hệ MC trên PM VTOS (Monitoring and Control) tác nghiệp Tally - điều độ Bãi có hiện tượng lag (chậm - treo…)
- Đề nghị kểm tra khắc phục</t>
  </si>
  <si>
    <r>
      <t>Nghiên cứu giải pháp Hợp đồng điện tử - chuyển đối số trong việc quản lý hồ sơ, hợp đồng và các chứng từ nội bộ (</t>
    </r>
    <r>
      <rPr>
        <i/>
        <sz val="12"/>
        <rFont val="Times New Roman"/>
        <family val="1"/>
      </rPr>
      <t>tờ trình, đề xuất, nghiệm thu….)</t>
    </r>
  </si>
  <si>
    <t>Kiểm tra lập biên bản hiện trạng máy tính và thực hiện tờ trình mua sắm máy tính làm việc cho P.KTCT (Chuyển CV từ A Thành sang)</t>
  </si>
  <si>
    <t>Xây dựng các chức năng/tính năng của phần mềm.</t>
  </si>
  <si>
    <t>- Do Cảng nằm xa việc đi lại khó khăn nên đối lúc hỗ trợ chưa kịp thời.</t>
  </si>
  <si>
    <t>- Tổ chức nghiệm thu, thanh toán theo qui định.
- Chưa thanh toán được</t>
  </si>
  <si>
    <t xml:space="preserve">- Liên hệ chuẩn bị các hồ sơ cần thiết, kiểm tra kỹ hồ sơ trước khi trình ký tranh sai sót </t>
  </si>
  <si>
    <t>CÔNG VIỆC THAM GIA CÁC DỰ ÁN</t>
  </si>
  <si>
    <t>- Theo dõi và cập nhật công việc hằng ngày theo mẫu, nộp lại bản tổng hợp trước ngày 20 hằng tháng. 
- Cập nhật và hoàn thiện cùng với báo cáo bộ phận trước 25 hàng tháng</t>
  </si>
  <si>
    <t>Đồng Nai, ngày 23 tháng 5 năm 2025</t>
  </si>
  <si>
    <t>Chưa</t>
  </si>
  <si>
    <t>- Cúp điện + Chập chờn.
- HT máy chủ có tích trữ điện không bị ảnh hưởng, tuy nhiên nhiên hệ thống làm mát thì không tự hoạt động lại được.
- Chú ý theo dõi các nhóm công việc để phát hiện sự cố kịp thời.
- Khi có sự cố cần chủ động kiểm tra khi có sự cố mất điện, không để bị động.</t>
  </si>
  <si>
    <r>
      <rPr>
        <b/>
        <sz val="12"/>
        <rFont val="Times New Roman"/>
        <family val="1"/>
      </rPr>
      <t xml:space="preserve">+ Sự cố hệ thống ngày 18/5-19/5: </t>
    </r>
    <r>
      <rPr>
        <sz val="12"/>
        <rFont val="Times New Roman"/>
        <family val="1"/>
      </rPr>
      <t xml:space="preserve">
- Gián đoạn internet từ 4h10-8h30p
- Máy chủ Portal hư vật lý.</t>
    </r>
  </si>
  <si>
    <t>- Hoàn tất</t>
  </si>
  <si>
    <t>Theo sự vụ trên nhóm hỗ trợ</t>
  </si>
  <si>
    <t>- Trao đổi phương án với CEH, BKAV và Ban KTTV. Đã Release chức năng điều chỉnh/thay thế hóa đơn trên môi trường TEST: 20-31/5.
- Vận hành chính thức 01/6/2025</t>
  </si>
  <si>
    <t>- Các công việc được giao đang chậm trễ. Báo cáo không kịp thời, chưa chi tiết thể hiện các công việc đang làm. Chưa có báo cáo giải trình các nội dung bị chậm trễ</t>
  </si>
  <si>
    <t>BAN HC-CNTT</t>
  </si>
  <si>
    <t>BỘ PHẬN IT</t>
  </si>
  <si>
    <t>Huỳnh Minh Thành: ….................................</t>
  </si>
  <si>
    <t>Đồng Vĩnh Thịnh:…......................................</t>
  </si>
  <si>
    <t>Hồ Quang Vinh: …........................................</t>
  </si>
  <si>
    <t>NHÂN SỰ BỘ PHẬN</t>
  </si>
  <si>
    <t>Chưa thấy bổ sung</t>
  </si>
  <si>
    <t>Kịp Thời</t>
  </si>
  <si>
    <t>Đảm bảo</t>
  </si>
  <si>
    <t>Chưa thực hiện</t>
  </si>
  <si>
    <t>Thực hiện tốt Các công việc nhiệm vụ được giao, tuy nhiên cần chủ động và nhanh gọn hơn trong công việc. Một số công việc được giao vẫn còn chậm trễ</t>
  </si>
  <si>
    <t>ĐG KQ</t>
  </si>
  <si>
    <t>Đang nghiên cứu triển khai</t>
  </si>
  <si>
    <t>- Do khối lượng công việc lớn, phát sinh sự vụ nên đang nghiên cứu phương án thực hiện</t>
  </si>
  <si>
    <t xml:space="preserve"> Duyệt cấp tài khoản VLS cho khách hàng</t>
  </si>
  <si>
    <t xml:space="preserve"> Hỗ trợ EIR tác nghiệp trên VSL, VTOS</t>
  </si>
  <si>
    <t>Triển khai phần mềm Logistics (phòng KVL)</t>
  </si>
  <si>
    <t>- Không thấy giải trình lý do</t>
  </si>
  <si>
    <t>Làm việc với LOVAD về việc ký kết hợp đồng Bảo trì và tiếp tục hỗ trợ PM</t>
  </si>
  <si>
    <t>Làm việc với LOVAD về việc "Triển khai giải pháp hiển thị biển số xe - Số tiền lên màn hình LED lắp ở Cổng Vào đang sử dụng phần mềm Lovad"</t>
  </si>
  <si>
    <t>Phát triển/vận hành phần mềm LOVAD</t>
  </si>
  <si>
    <t>- Hoàn tất Cấu hình và Golive ngày 30/5
- Tiếp tục theo dõi vận hành/hỗ trợ</t>
  </si>
  <si>
    <r>
      <rPr>
        <b/>
        <sz val="12"/>
        <rFont val="Times New Roman"/>
        <family val="1"/>
      </rPr>
      <t>+ CV Tiếp theo:</t>
    </r>
    <r>
      <rPr>
        <sz val="12"/>
        <rFont val="Times New Roman"/>
        <family val="1"/>
      </rPr>
      <t xml:space="preserve">
</t>
    </r>
    <r>
      <rPr>
        <sz val="12"/>
        <color rgb="FFFF0000"/>
        <rFont val="Times New Roman"/>
        <family val="1"/>
      </rPr>
      <t>- Cho lập hồ sơ triển khai + Báo cáo triển khai: từ 3/6 - 5/6 và trình BLĐ xem xét.
- Hẹn lại lịch làm việc với Cảng GD để triển khai các bước tiếp theo</t>
    </r>
    <r>
      <rPr>
        <sz val="12"/>
        <rFont val="Times New Roman"/>
        <family val="1"/>
      </rPr>
      <t xml:space="preserve">
</t>
    </r>
    <r>
      <rPr>
        <b/>
        <sz val="12"/>
        <rFont val="Times New Roman"/>
        <family val="1"/>
      </rPr>
      <t>+ Kết quả hướng tới</t>
    </r>
    <r>
      <rPr>
        <sz val="12"/>
        <rFont val="Times New Roman"/>
        <family val="1"/>
      </rPr>
      <t>: Hoàn thiện  Tài liệu đặc tả chức năng của phần mềm GTOS.</t>
    </r>
  </si>
  <si>
    <t>- Đã nộp lại cho thư ký tổng hợp theo báo cáo của Phòng.
- Rà soát chi phí Quý 2, chốt chi phí, hoá đơn gửi về TCKT trước 8/7</t>
  </si>
  <si>
    <r>
      <rPr>
        <b/>
        <sz val="12"/>
        <rFont val="Times New Roman"/>
        <family val="1"/>
      </rPr>
      <t>+ Chuẩn bị hồ sơ (bản Draff)</t>
    </r>
    <r>
      <rPr>
        <sz val="12"/>
        <rFont val="Times New Roman"/>
        <family val="1"/>
      </rPr>
      <t xml:space="preserve">
- Thực hiện báo cáo đề xuất xin chủ trương thực hiện.
- Thực hiện lập dự toán và xin phê duyệt.
- Thực hiện lập KH LCNT và xin phê duyệt.
- Thương thảo và ký kết hợp đồng.
</t>
    </r>
    <r>
      <rPr>
        <b/>
        <sz val="12"/>
        <rFont val="Times New Roman"/>
        <family val="1"/>
      </rPr>
      <t xml:space="preserve">+ Chuyển Hồ sơ sang Phòng KTCT kiểm tra: </t>
    </r>
    <r>
      <rPr>
        <sz val="12"/>
        <rFont val="Times New Roman"/>
        <family val="1"/>
      </rPr>
      <t>28/5</t>
    </r>
    <r>
      <rPr>
        <b/>
        <sz val="12"/>
        <rFont val="Times New Roman"/>
        <family val="1"/>
      </rPr>
      <t xml:space="preserve">
+ Góp ý hoàn thiện: </t>
    </r>
    <r>
      <rPr>
        <sz val="12"/>
        <rFont val="Times New Roman"/>
        <family val="1"/>
      </rPr>
      <t xml:space="preserve"> 02/6.</t>
    </r>
    <r>
      <rPr>
        <b/>
        <sz val="12"/>
        <rFont val="Times New Roman"/>
        <family val="1"/>
      </rPr>
      <t xml:space="preserve">
+ Hoàn thiện hồ sơ: </t>
    </r>
    <r>
      <rPr>
        <sz val="12"/>
        <rFont val="Times New Roman"/>
        <family val="1"/>
      </rPr>
      <t>03/6 - 05/6</t>
    </r>
    <r>
      <rPr>
        <b/>
        <sz val="12"/>
        <rFont val="Times New Roman"/>
        <family val="1"/>
      </rPr>
      <t xml:space="preserve">
+ Trình ký: 
</t>
    </r>
    <r>
      <rPr>
        <sz val="12"/>
        <rFont val="Times New Roman"/>
        <family val="1"/>
      </rPr>
      <t>- Ban: 06/6
- Phòng: 11/6
- BLĐ: 12/6</t>
    </r>
  </si>
  <si>
    <r>
      <rPr>
        <b/>
        <sz val="12"/>
        <rFont val="Times New Roman"/>
        <family val="1"/>
      </rPr>
      <t>+ Bổ sung 03 bộ phát sinh:</t>
    </r>
    <r>
      <rPr>
        <sz val="12"/>
        <rFont val="Times New Roman"/>
        <family val="1"/>
      </rPr>
      <t xml:space="preserve">
- Hoàn tất tờ trình  đề xuất ngày 03/6.
</t>
    </r>
    <r>
      <rPr>
        <sz val="12"/>
        <color rgb="FFFF0000"/>
        <rFont val="Times New Roman"/>
        <family val="1"/>
      </rPr>
      <t>- Hoàn tất lắp đặt 03 bộ ngày 11/6 (2/6 Phiếu DV SCN)</t>
    </r>
    <r>
      <rPr>
        <sz val="12"/>
        <rFont val="Times New Roman"/>
        <family val="1"/>
      </rPr>
      <t xml:space="preserve">
- Trao đổi với Đại diện DVC về việc bàn giao, lắp đặt thiết bị (4/6)
- Review hồ sơ với nhà thầu: 5/6
- Hoàn tất HSTT: 12/6
- Trình ký hồ sơ: 13/6
</t>
    </r>
    <r>
      <rPr>
        <b/>
        <sz val="12"/>
        <rFont val="Times New Roman"/>
        <family val="1"/>
      </rPr>
      <t>+ Triển khai toàn bộ thiết bị</t>
    </r>
    <r>
      <rPr>
        <sz val="12"/>
        <rFont val="Times New Roman"/>
        <family val="1"/>
      </rPr>
      <t xml:space="preserve">
- Trao đổi với Cảng LBT về việc triển khai thiết bị: 13/6
- Làm việc với DVC chốt PA thực hiện: 17/6
- Làm thủ tục lắp dặt và Bàn giao Tablet xuống cho Vendor.
- Đã Kiểm tra lại hệ thống Điện + giá đỡ đã lặp.
- Hỗ trợ Vận hành Quy trình chuẩn (có Tablet) trên xe trung chuyển.</t>
    </r>
  </si>
  <si>
    <t>- Hoàn tất Trình ký hợp đồng + HS Tạm ứng: 03/6 -&gt; 05/6 -&gt; Vendor nhận tiền: 11/6.
- Báo cáo tiến độ thực hiện: 17/6.
- TC Hạng mục 1: 6/6-14/6
- TC Hạng mục 2: từ 16/6</t>
  </si>
  <si>
    <t>8.4</t>
  </si>
  <si>
    <t>8.5</t>
  </si>
  <si>
    <t>8.6</t>
  </si>
  <si>
    <t>8.7</t>
  </si>
  <si>
    <t>8.8</t>
  </si>
  <si>
    <t>8.9</t>
  </si>
  <si>
    <t>8.10</t>
  </si>
  <si>
    <t>8.11</t>
  </si>
  <si>
    <t>8.12</t>
  </si>
  <si>
    <t>8.13</t>
  </si>
  <si>
    <t>8.14</t>
  </si>
  <si>
    <t>8.15</t>
  </si>
  <si>
    <t>8.16</t>
  </si>
  <si>
    <t>8.17</t>
  </si>
  <si>
    <t>8.18</t>
  </si>
  <si>
    <t>8.19</t>
  </si>
  <si>
    <t>1.5</t>
  </si>
  <si>
    <t>-  Trao đổi phương án với CEH, BKAV và Ban KTTV</t>
  </si>
  <si>
    <t>Kế hoạch công việc tháng tiếp theo: (Từ ngày 20/06/2025 đến hết ngày 20/07/2025)</t>
  </si>
  <si>
    <t>- Do hồ sơ ký kết giữa 3 bên nên HĐ ký kết mất nhiều thời gian hơn dự kiến.</t>
  </si>
  <si>
    <t>- Hồ sơ thủ tục đầu tư khá nhiều, cần thời gian chuẩn bị và rà soát.
- PA đầu tư phát sinh chi phí nên cần xin ý kiến BLĐ để thực hiện.
- Dự án đầu tư chỉ có 01 nhà thầu đáp ứng nên việc Thẩm định giá &gt; lập dự toán khó khăn (theo đúng Quy trình thì cần có bước thẩm định dự toán).
&gt; Đề xuất thành lập tổ thẩm định dự toán để sau này thực hiện các hồ sơ khác đúng quy trình của CẢNG đang áp dụng (Đề xuất của Vinh B.QLDA)</t>
  </si>
  <si>
    <t>- Bàn giao thiết bị cho Vendor dẫn đến gặp khó khăn trong quá trình bàn giao.
- Việc hoàn thiện giải pháp Phía Cảng LBT chưa dứt khoát, sợ ảnh hưởng đến sản lượng tiến độ làm hàng nên chậm trễ</t>
  </si>
  <si>
    <t>- Triển khai trên phân hệ VSL phát sinh chi phí &gt; khó khăn trong quá trình lên PA và xin chủ trương.</t>
  </si>
  <si>
    <t>- Chưa có chỉ đạo/Phương án thực hiện mới.
- Vẫn Chưa thể thống nhất với Cảng Gò Dầu, Cảng LBT về một số vị trí sản xuất trực tiếp (phát sinh/điều chuyển) để tái tổ chức vị trí phù hợp với việc chuyển đổi số ngành hàng Tổng Hợp.</t>
  </si>
  <si>
    <t>- Nghiên cứu giải pháp phần mềm.
- Tư vấn triển khai.
- Họp với KVL + nhà thầu: 9/6.
- Đã góp ý các công tác triển khai.
- Chưa nhận được phương án kỹ thuật của phía nhà thầu</t>
  </si>
  <si>
    <t xml:space="preserve">- Giao Thịnh phối hợp công tác bảo trì hợp đồng còn đang hiệu lực để làm HSTT và thanh lý.
</t>
  </si>
  <si>
    <t>- Thực hiện theo chỉ đạo đã liên hệ làm việc và thống nhất với Vendor
- Phối rà soát hồ sơ cũ: 7/6
- Báo cáo Phòng/Ban xin chỉ đạo thực hiện các bước tiếp theo.
- Hoàn tất hồ sơ mới, đề nghị gửi bản cứng để có căn cứ thực hiện: 12/6.
- Hoàn tất Thương thảo giá cả và chốt hồ sơ với LOVAD &gt; Đề nghi gửi bản Cứng: 19/6</t>
  </si>
  <si>
    <t xml:space="preserve">- Thực hiện theo chỉ đạo GĐ đã liên hệ và trao đổi sơ bộ. Đang đợi phía Vendor cung cấp báo giá và Trao đổi cụ thể giải pháp thực hiện từ 4/6.
- Nhận báo giá và báo cáo Phòng: 7/6
</t>
  </si>
  <si>
    <t>- Tạm thời ngưng do có chỉ đạo nghiên cứu phương án khác từ BLĐ</t>
  </si>
  <si>
    <t>- Tổ chức nghiệm thu kịp thời, phối hợp với Cảng GD làm thủ tục bàn giao thiết bị và Hoàn tất hồ sơ TT sớm.</t>
  </si>
  <si>
    <t>- Hoàn thiện tờ trình xin chủ trương.
- Hoàn tất HĐ và tạm ứng cho Nhà thầu.
- Lên kế hoạch thực hiện và thi công.</t>
  </si>
  <si>
    <t>Xin chủ trương và thi công Camera Nội bộ khu GDA (dự kiến 12 camera)</t>
  </si>
  <si>
    <t>Xin chủ trương và thi công Camera Kho 5000 khu GDA (dự kiến 8 camera)</t>
  </si>
  <si>
    <t>Phối hợp triển khai: "Chức năng điều chỉnh/thay thế hóa đơn trên phân hệ VSL"</t>
  </si>
  <si>
    <t>Thực hiện ký kết hợp đồng/tạm ứng và Phối hợp với nhà thầu mở rộng phần mềm VTOS</t>
  </si>
  <si>
    <t>- Trao đổi phương án thực hiện, đôn đốc nhà thầu đúng tiến độ, cố gắng đẩy nhanh tiến độ thực hiện.</t>
  </si>
  <si>
    <t>- Hoàn tất ký kết HĐ và Tạm ứng sớm (trong tuần từ 24/6-30/6) để kịp tiến độ (75 ngày).
- Trao đổi phương án thực hiện, đôn đốc nhà thầu đúng tiến độ, cố gắng đẩy nhanh tiến độ thực hiện từ 45-60 ngày.</t>
  </si>
  <si>
    <t>Nghiệm thu, Làm HSTT gói thi công: Camera Cầu Cảng GDA</t>
  </si>
  <si>
    <t>Phối hợp với Cảng LBT, P.KVL hiệu chính tính năng phần mềm VTOS, VLS để tối ưu hoá công việc (các nội dung không phát sinh chi phí)</t>
  </si>
  <si>
    <t xml:space="preserve">Đánh giá kế hoạch hoạt động tháng 6 và lên kế hoạch công việc tháng 7 của bộ phận IT </t>
  </si>
  <si>
    <t xml:space="preserve">Đánh giá kế hoạch hoạt động tháng 7 và lên kế hoạch công việc tháng 8 của bộ phận IT </t>
  </si>
  <si>
    <t>8.20</t>
  </si>
  <si>
    <t>- Xem lại báo cáo công việc của Quý 2, họp bộ phận và Đánh giá KPI cụ thể cho từng nhân sự</t>
  </si>
  <si>
    <t>A. Thực hiện công việc tháng Từ ngày 20/05/2025 đến hết ngày 20/06/2025</t>
  </si>
  <si>
    <t>Tổ chức thực hiện test network, hiệu suất hoạt động phần mềm VTOS tại vị trí Tally để giải quyết hiện trạng hoạt động chậm khi đổ list xuất/nhập salan</t>
  </si>
  <si>
    <t>Phối hợp, Tổ chức thực hiện và test hệ thống VTOS thực hiện theo nghị định số 70/2025/NĐ-CP ngày 20/03/2025 và công văn số 69/CV-LBT của Cảng LBT ngày 21/05/2025</t>
  </si>
  <si>
    <t>- Nhờ OPS LBT hỗ trợ điều động Tally vào tác nghiệp đổ list nhập/xuất tại phòng EIR để check băng thông
- Nhờ anh Thành kiểm tra lại tốc độ upload dữ liệu tại vị trí Tally
- Phối hợp cùng CEH theo dõi việc đổ list nhập/xuất salan của Tally tại phòng EIR, so sánh kết quả thu được với hiện trạng tại bot Tally.
- 26/05 đã hoàn tất test network, performance Client =&gt; không phát hiện dấu hiệu bất thường -&gt; Gửi CEH kiểm tra server và hệ thống phần mềm VTOS.</t>
  </si>
  <si>
    <t xml:space="preserve">Khắc phục lỗi cấp mới tài khoản Portal </t>
  </si>
  <si>
    <t>Đã hoàn tất</t>
  </si>
  <si>
    <t>- Khảo sát, rà soát toàn bộ hệ thống hiện hữu
- Trao đổi về giải pháp với các nhà cung cấp
- Lập báo cáo về hiện trạng BackUp hệ thống CNTT tại công ty và đề xuất triển khai hệ thống Backup tự động.</t>
  </si>
  <si>
    <t>Đang triển khai</t>
  </si>
  <si>
    <t>Phối hợp cùng CEH và KTD tổ chức chuyển file Backup Database của phần mềm VTOS, CAS, MNR lên hệ thống NAS</t>
  </si>
  <si>
    <t>Phối hợp cùng CEH tổ chức kiểm tra, rà soát hiệu suất hoạt động của Module Motinoring &amp; Control trên phần mềm VTOS</t>
  </si>
  <si>
    <t xml:space="preserve"> - Hiện trạng nhập list xuất/nhập salan tại bộ phận Điều Độ Cầu Tàu - LBT rất chậm, thường xuyên mất kết nối với máy chủ và có lại ngay sau đó.
- Đã test trên tất cả các PC tại PDN, sử dụng Laptop cắm dây mạng chung với Switch/hệ thống mạng của máy chủ rồi vẫn bị hiện trạng như trên.
- Đánh giá: không phải vấn đề do mạng hoặc do hiệu suất PC của end user
- Yêu cầu CEH kiểm tra lại hiệu suất hoạt động của Module Monitoring &amp; Control</t>
  </si>
  <si>
    <t>Tạo tài khoản OpenVPN cho kỹ thuật của CEH (Đoàn Văn Hiếu) kết nối vào hệ thống của PDN nhằm bảo trì, hỗ trợ phần mềm VTOS</t>
  </si>
  <si>
    <t>- Nghiên cứu chức năng, độ phù hợp của các loại License tại công ty
- Khảo sát số lượng License cần thiết cho từng loại License
- 30/05/2025 liên hệ vendor báo giá các loại License: Windows GGWA, Office Std2024 (dùng cho PC, Laptop), Office365 (dùng cho iPad), AutoCad.</t>
  </si>
  <si>
    <t>Phối hợp Cảng LBT lập báo cáo khảo sát phần mềm SmartPort</t>
  </si>
  <si>
    <t>Phối hợp tổ chức dữ liệu phục vụ nhu cầu điều chỉnh dữ liệu trên phần mềm VSL của khách hàng để đảm bảo tình hình SXKD</t>
  </si>
  <si>
    <t>Phối hợp, tổ chức dữ liệu phục vụ việc lập hóa đơn thay thế và điều chỉnh module ebilling (không phát sinh chi phí) của Cảng LBT</t>
  </si>
  <si>
    <t>Ký Hợp đồng bảo trì phần mềm LOVAD, thực hiện bảo trì lần đầu và làm HSTT lần 1.</t>
  </si>
  <si>
    <t>- Đi khảo sát thực tế.
- Phối hợp lập báo cáo sớm để có phương án điều chỉnh phần mềm.</t>
  </si>
  <si>
    <t>- Trao đổi các đơn vị liên quan, tư vân giải pháp, lập biên bản ghi nhân đề xuất và tham mưu phương án thực hiện</t>
  </si>
  <si>
    <t>Chưa triển khai</t>
  </si>
  <si>
    <t>- Đã lập báo cáo tiến độ triển khai phần mềm GTOS Gửi xin ý kiến Ban Lãnh đạo.
&gt; Tiếp tục hoàn thiện  Tài liệu đặc tả chức năng của phần mềm GTOS.</t>
  </si>
  <si>
    <t>Phối hợp với B.KTTV Cảng LBT thực hiện nội dung Gửi Hoá Đơn điện tử tới Email khách hàng khi hoàn tất thủ tục.</t>
  </si>
  <si>
    <t>- Rà soát tính năng Email (đã test xong).
- Rà soát tệp khách hàng: Chưa có Email.</t>
  </si>
  <si>
    <t>Họp cùng Cảng LBT và Phòng KVL về rà soát lại chức năng chỉnh sửa TOS, CAS, VSL. Đề xuất phân quyền theo góc nhìn quản trị</t>
  </si>
  <si>
    <t>Nghiên cứu triển khai: "Chức năng điều chỉnh/thay thế hóa đơn trên phân hệ VSL"</t>
  </si>
  <si>
    <t>Tạo tài khoản OpenVPN cho kỹ thuật của CEH kết nối vào hệ thống của PDN nhằm bảo trì, hỗ trợ phần mềm VTOS</t>
  </si>
  <si>
    <t>Khắc phục lỗi portal không đăng nhập được</t>
  </si>
  <si>
    <t>Giải trình cho Giám đốc HCTH về quản trị, lấy số liệu phần mềm Cân hàng tại Cảng LBT</t>
  </si>
  <si>
    <t>- Phần mềm không thuộc phạm vi quản lý</t>
  </si>
  <si>
    <t>Kiểm tra hệ thống điện phòng máy chủ sau khi phát sinh sự cố điện lưới - đảm bảo hệ thống CNTT hoạt động ổn định</t>
  </si>
  <si>
    <t>Phối hợp với Ms Yến - Phòng TCKT tách chi phí gia hạn License Email năm 2024 theo khu vực để phân bổ chi phí theo đúng qui định</t>
  </si>
  <si>
    <t>Block email và xóa tất cả các tài khoản liên quan của user Huỳnh Anh Triết nghỉ việc</t>
  </si>
  <si>
    <t>Trao đổi thiết lập lịch trình bấm vân tay cho đội trưởng/phó bảo vệ Cảng LBT với Ban HCBV LBT</t>
  </si>
  <si>
    <t>Cung cấp tài khoản Email, portal cho nhân sự Võ Tấn Đông</t>
  </si>
  <si>
    <t>Xử lý sự cố máy chủ Portal bị lỗi</t>
  </si>
  <si>
    <t>Điều chỉnh vị trí công việc và phân bổ lại lịch trình trên phần mềm vân tay cho các nhân sự được điều động chuyển vị trí công tác</t>
  </si>
  <si>
    <t>Hỗ trợ Mr Lê Tuấn reset mật khẩu Portal</t>
  </si>
  <si>
    <t>Cấp lại mật khẩu email cho Đoàn Vũ Lực - Cảng Gò Dầu</t>
  </si>
  <si>
    <t>Cấp lại mật khẩu email cho Trần Trọng Nghĩa - Cảng Gò Dầu</t>
  </si>
  <si>
    <t>Hỗ trợ Mr Toàn - P. HCTH lấy dữ liệu báo cáo chấm công vân tay cho Tạp vụ</t>
  </si>
  <si>
    <t>Hỗ trợ Mr Chính - PGĐ KVL reset mật khẩu email</t>
  </si>
  <si>
    <t>Khắc phục lỗi không đồng bộ thời gian trên PC cổng C1</t>
  </si>
  <si>
    <t>Khắc phục lỗi phần mềm Lovad gián đoạn, không trích xuất được báo cáo</t>
  </si>
  <si>
    <t>Lấy vân tay cho nhân sự: Võ Ngọc Minh và Trần Nam Phong - Phòng KVL</t>
  </si>
  <si>
    <t>Hỗ trợ Mr Hoàng - Phòng KTCT reset mật khẩu email</t>
  </si>
  <si>
    <t>Hỗ trợ Mr Thi - Phòng KTCT, Mr Phú - KVL reset mật khẩu email</t>
  </si>
  <si>
    <t>- Lập báo cáo tình hình triển khai phần mềm GTOS.
- Tập hợp lài liệu, báo cáo liên quan đến tình hình triển khai phần mềm GTOS nộp Ban Lãnh đạo</t>
  </si>
  <si>
    <t>Cấp mật khẩu lại Portal cho Mr Phú - KVL và Mr Dương - Ban HCBV Cảng LBT</t>
  </si>
  <si>
    <t>Hỗ trợ, hướng dẫn người dùng sử dụng phần mềm phục vụ SXKD: VTOS, VSL, Client, LOVAD</t>
  </si>
  <si>
    <t>Hỗ trợ đội bảo vệ Cảng LBT làm rõ vấn đề chấm công vân tay cho nhân sự Bùi Đình Phóng được điều chuyển từ Gò Dầu về</t>
  </si>
  <si>
    <t>Phối hợp đội bảo vệ Cảng LBT làm rõ vấn đề chấm công vân tay cho nhân sự Bùi Đình Phóng được điều chuyển từ Gò Dầu về</t>
  </si>
  <si>
    <t>Họp giao ban cùng Cảng LBT về các vấn đề liên quan đến hóa đơn điện tử và thanh toán thẻ nội địa trên VSL</t>
  </si>
  <si>
    <t>Cấp tài khoản Email, portal, VTOS, domain cho nhân sự Phan Thị Mỹ Thanh</t>
  </si>
  <si>
    <t>Khắc phục sự cố hệ thống Portal bị lỗi</t>
  </si>
  <si>
    <t>Cấp tài khoản email phục vụ việc thử việc của ông Trần Nam Phong</t>
  </si>
  <si>
    <t>Phối hợp với ms Nguyệt - Cảng Gò Dầu sắp xếp lịch trình làm việc theo ca cho đội nghiệp vụ Hải Quan - ban KTĐĐ Cảng Gò Dầu</t>
  </si>
  <si>
    <t>Phối hợp với ms Nguyệt - Cảng Gò Dầu sắp xếp lịch trình làm việc theo ca cho đội nghiệp vụ Hải Quan - ban KTĐĐ Cảng Gò Dầu trên phần mềm chấm vân tay</t>
  </si>
  <si>
    <t>Họp cùng Cảng LBT - triển khai Handheld trên xe trung chuyển và quyền chỉnh sửa dữ liệu thông tin container của khách hàng trên VSL</t>
  </si>
  <si>
    <t>Báo cáo giải trình phân quyền xem báo cáo trên phần mềm VTOS và VSL với anh Ban - Phó TGĐ</t>
  </si>
  <si>
    <t>Kiểm tra, đối chiếu database của phần mềm CMS và VTOS về email trong danh mục khách hàng phục vụ việc gửi email HĐĐT cho khách hàng</t>
  </si>
  <si>
    <t>Lấy vân tay cho anh Đặng Thành Vũ (LBT) và Nguyễn Ngọc Hùng (Cảng GD)</t>
  </si>
  <si>
    <t>Khảo sát phần mềm SmartPort tại Cảng Bình Dương</t>
  </si>
  <si>
    <t>1.6</t>
  </si>
  <si>
    <t>Gửi lại EDI có 02 containers: MSKU1159395 và MRKU4555680. Khách hàng sai VGM</t>
  </si>
  <si>
    <t>Hỗ trợ reset mật khẩu VSL cho khách hàng Logistics Tín Nghĩa - Biên Hòa</t>
  </si>
  <si>
    <t>Hỗ trợ Ms Oanh - Ban KTTV LBT khắc phục sự cố không load được dữ liệu báo cáo phần mềm Lovad</t>
  </si>
  <si>
    <t>Hỗ trợ hãng tàu Vsico về việc không nhận được báo cáo Excel hàng ngày</t>
  </si>
  <si>
    <t>Khắc phục sự cố máy báo cáo EDI, Excel không thể kết nối, mất cấu hình đăng nhập</t>
  </si>
  <si>
    <t>Kiểm tra, khắc phục thiếu EDI cho hãng tàu Huyndai</t>
  </si>
  <si>
    <t>Hỗ trợ Mr Linh Phòng KVL về việc module đăng ký xe công ty - Portal chưa load được data</t>
  </si>
  <si>
    <t>Kích hoạt tài khoản VSL cho khách hàng Bảo Anh Tây Ninh - 3901218913</t>
  </si>
  <si>
    <t>Hỗ trợ Mr Thảo - Phòng KVL cài đặt và hướng dẫn sử dụng VTOS, VSL</t>
  </si>
  <si>
    <t>Hỗ trợ Ban KTĐĐ Cảng Gò Dầu nhập bổ sung dữ liệu làm hàng trên phần mềm Client</t>
  </si>
  <si>
    <t>Phối hợp cùng Phòng KVL và Ban Quản trị website kiểm tra và upload biểu cước dịch vụ container và thông báo điều chỉnh biểu cước dịch vụ container trên website dongnai-port.com</t>
  </si>
  <si>
    <t>Trao đổi với Hãng tàu Huyndai tìm nguyên nhân để khắc phục tình trạng miss EDI</t>
  </si>
  <si>
    <t>Hỗ trợ Mr Đạt - Cảng Gò Dầu xử lý lỗi file xác bào thời gian tàu tại cảng trên phần mềm Client</t>
  </si>
  <si>
    <t>Khắc phục sự cố rớt mạng cổng C2</t>
  </si>
  <si>
    <t>Cấu hình lại báo cáo EDI theo đề nghị của hãng tàu Huyndai</t>
  </si>
  <si>
    <t>Nghiên cứu, phối hợp với CEH tái thiết lập EDI theo định dạng mới cho hãng tàu MSC</t>
  </si>
  <si>
    <t>Hỗ trợ Cảng Gò Dầu điều chỉnh dữ liệu nhập sai trên phần mềm Client</t>
  </si>
  <si>
    <t>Hỗ trợ Cảng Gò Dầu back lại tàu đã rời trên phần mềm Client để nhập thêm nhật ký thời gian làm hàng còn thiếu</t>
  </si>
  <si>
    <t>Đã hoàn tất - 02 nội dung</t>
  </si>
  <si>
    <t>Hỗ trợ Ms Trang - KTT cài đặt và hướng dẫn sử dụng phầm mềm VTOS</t>
  </si>
  <si>
    <t>Đã hoàn tất hướng dẫn:
- Category: trích xuất báo cáo sản lượng
- eBilling: Trích xuất tất cả báo cáo liên quan đến doanh thu, hóa đơn
- Thống nhất không hướng dẫn VSL vì các nội dung báo cáo trên VSL chưa liên quan đến việc đối chiếu sản lượng thực tế -&gt; sẽ hướng dẫn khi Ms Trang có nhu cầu sử dụng
- Hướng dẫn, giải thích phần mềm VTOS chưa quản lý/trích xuất được sản lượng xe vận chuyển nội bộ (do vendor thực hiện) -&gt; sẽ hướng dẫn sau khi triển khai</t>
  </si>
  <si>
    <t>Hỗ trợ Cảng Gò Dầu xóa dữ liệu nhập sai trên phần mềm Client</t>
  </si>
  <si>
    <t>Phối hợp cùng CEH hỗ trợ khách hàng Wolf Logistics kiểm tra và cấu hình gửi email duyệt lệnh tự động trên VSL về tài khoản email của Khách hàng.</t>
  </si>
  <si>
    <t>Kích hoạt tài khoản VSL cho khách hàng Đại Quốc Việt - 0311679539</t>
  </si>
  <si>
    <t>Phân quyền cho tài khoản Đỗ Đức Tâm và Nguyễn Thị Thanh Loan vào được module Báo cáo tồn bãi theo đề nghị của Trưởng Ban KTĐĐ - Cảng LBT</t>
  </si>
  <si>
    <t>Cài đặt lại windows PC (Thịnh) - lỗi win nặng - không thể phục vụ công việc</t>
  </si>
  <si>
    <t xml:space="preserve">Hỗ trợ Ms Hạnh - Phòng TCNS khắc phục lỗi Office </t>
  </si>
  <si>
    <t>Khắc phục máy tính cửa 5 khu EIR2 bị rớt mạng</t>
  </si>
  <si>
    <t>Hỗ trợ khách hàng Wolf Logistics theo dõi việc nhận email duyệt lệnh và HĐĐT sau khi thanh toán tiền cho lệnh hạ conatainer ePort.</t>
  </si>
  <si>
    <t>Khắc phục sự cố máy in cửa 5 khu EIR 1</t>
  </si>
  <si>
    <t>Thay mực máy in Phòng HCTH</t>
  </si>
  <si>
    <t>Họp chi bộ thường kỳ</t>
  </si>
  <si>
    <t>Thường kỳ</t>
  </si>
  <si>
    <t>Hỗ trợ Ms Oanh - Ban KTTV LBT lấy dữ liệu báo cáo phần mềm Lovad</t>
  </si>
  <si>
    <t>Phối hợp với IT của hãng tàu Vsico về việc email của Vsico bị Spam, không thể nhận được báo cáo EDI và Excel bằng Email.</t>
  </si>
  <si>
    <t>Phối hợp với hãng tàu Vsico đảm bảo báo cáo EDI và Excel và đồng bộ dữ liệu giữa PDN và Vsico</t>
  </si>
  <si>
    <t>Hỗ trợ phân quyền sử dụng Module Category trên phần mềm VTOS cho Ban KTDD - Cảng LBT</t>
  </si>
  <si>
    <t>Hỗ trợ Mr Phú - Phòng KVL thiết lập tài khoản domain</t>
  </si>
  <si>
    <t>Hướng dẫn Mr Dương - Ban HCBV sử dụng các tính năng của email công ty</t>
  </si>
  <si>
    <t>Hỗ trợ Cảng Gò Dầu xóa thông tin chuyến tàu nhập trùng trên phần mềm Client</t>
  </si>
  <si>
    <t>Hỗ trợ Cảng LBT điều chỉnh dữ liệu thông tin tàu đang cặp làm hàng trên phần mềm Client</t>
  </si>
  <si>
    <t>Hỗ trợ Mr Hiếu - Ban KSNB thiết lập máy tính</t>
  </si>
  <si>
    <t>Hỗ trợ Mr Hiếu - Ban KSNB khắc phục sự cố máy tính</t>
  </si>
  <si>
    <t>Hỗ trợ Mr Tâm - Đội Cơ Giới thêm nhân viên mới lái thiết bị trên phần mềm Portal</t>
  </si>
  <si>
    <t>Kích hoạt tài khoản VSL cho khách hàng CTY TNHH MTV Ngọc Minh Huy</t>
  </si>
  <si>
    <t>Cài đặt PC cho Mr Hiển - Phòng KTCT phần mềm quét vân tay, chữ ký số để khai báo trên cổng thông tin một cửa quốc gia.</t>
  </si>
  <si>
    <t>Họp triển khai VSL cùng Cảng LBT và Phòng KVL</t>
  </si>
  <si>
    <t>Hỗ trợ Ms Oanh - Ban KTTV trích xuất báo cáo phần mềm Lovad</t>
  </si>
  <si>
    <t>Bảo trì VSL - dịch vụ thu hộ của BIDV  gián đoạn</t>
  </si>
  <si>
    <t>Hỗ trợ Cảng LBT điều chỉnh dữ liệu thiếu xót trên phần mềm</t>
  </si>
  <si>
    <t>Hỗ trợ, hướng dẫn Ms Trang - KTT sử dụng VTOS - Category</t>
  </si>
  <si>
    <t>Làm việc với vendor Thái Sơn - Đối tác ghi sai thông tin số tiền bằng chữ trên hợp đồng</t>
  </si>
  <si>
    <t>Hỗ trợ Ms Nguyệt - Cảng GD xử lý lỗi excel</t>
  </si>
  <si>
    <t>Hỗ trợ Mr Long - Cảng Gò Dầu xử lý lỗi office trên PC máy B1</t>
  </si>
  <si>
    <t>Hỗ trợ Ms Trang - KTT đối chiếu sản lượng khai thác container trên phân hệ Category - phần mềm VTOS</t>
  </si>
  <si>
    <t>1.7</t>
  </si>
  <si>
    <t>Cấp phát tài khoản Portal, Email, lấy vân tay cho các nhân sự</t>
  </si>
  <si>
    <t>- Thực hiện kịp thời, không ghi nhận tình trạng nào thiếu sót</t>
  </si>
  <si>
    <t>1.8</t>
  </si>
  <si>
    <t>1.9</t>
  </si>
  <si>
    <t>1.10</t>
  </si>
  <si>
    <t>1.11</t>
  </si>
  <si>
    <t>1.12</t>
  </si>
  <si>
    <t>1.13</t>
  </si>
  <si>
    <t>1.14</t>
  </si>
  <si>
    <t>2.3</t>
  </si>
  <si>
    <t>2.4</t>
  </si>
  <si>
    <t>2.5</t>
  </si>
  <si>
    <t>2.6</t>
  </si>
  <si>
    <t>- Chưa có báo cáo cụ thể.</t>
  </si>
  <si>
    <t>- Chưa có Phương án thực hiện</t>
  </si>
  <si>
    <t>- Tổ chức kiểm tra toàn bộ tính năng module eBilling trên site test.
- Phối hợp cùng CEH điều chỉnh các chức năng liên quan
- Hoàn tất cho triển khai từ 01/6, tiếp tục theo dõi thực hiện và điều chỉnh theo thực tế.</t>
  </si>
  <si>
    <t>Đầu tư phần mềm GTOS</t>
  </si>
  <si>
    <t>- Thịnh bổ sung thời gian làm và hoàn tất Thanh toán (nội dung này không thấy trong báo cáo cá nhân)</t>
  </si>
  <si>
    <r>
      <rPr>
        <sz val="12"/>
        <color rgb="FFFF0000"/>
        <rFont val="Times New Roman"/>
        <family val="1"/>
      </rPr>
      <t>- Đã thực hiện tạm ứng bằng tiền cá nhân cho Khách hàng.</t>
    </r>
    <r>
      <rPr>
        <sz val="12"/>
        <rFont val="Times New Roman"/>
        <family val="1"/>
      </rPr>
      <t xml:space="preserve">
- Rà soát lại HSTT Bị sai, đề nghị Vendor bổ sung và gửi lại để hoàn tất thủ tục. 
- Rà soát sửa &gt; trình P.TCKT (20/6) chờ thanh toán và hoàn trả.</t>
    </r>
  </si>
  <si>
    <t>- Chưa thể thống nhất được đặc tả các quy trình SXKD do thay đổi khá nhiều so với thực tiễn hiện tại.</t>
  </si>
  <si>
    <t>- Thống nhất nội dung và thực hiện tạo tài khoản cho người dùng.
- Kiểm tra thiết bị: Tablet + củ sạc.</t>
  </si>
  <si>
    <t>- Chưa thế bàn giao được,  do Vendor vận hành chưa có vị trí bàn giao thiết bị.</t>
  </si>
  <si>
    <t>- Đã hoàn tất</t>
  </si>
  <si>
    <t>- Cần Lập báo cáo, tờ trình xin ý kiến Ban Lãnh đạo chỉ đạo các Cảng, Phòng, Ban Nghiệp Vụ phối hợp chặt chẽ để triển khai thống nhất các nội dung: chức năng, báo cáo, thống kê, quản trị... cần có.
- Sắp xếp bố trí thời gian và hẹn lịch làm việc với Cảng GD và các đơn vị liên quan trong tháng 6 (A Tuấn Huỳnh chủ trì) để tháo gỡ khó khắn vướng mắc
+ Tiếp tục Hoàn thiện  Tài liệu đặc tả chức năng của phần mềm GTOS.</t>
  </si>
  <si>
    <t>- Trao đổi các đơn vị liên quan, tư vấn giải pháp, lập biên bản ghi nhân đề xuất và tham mưu phương án thực hiện</t>
  </si>
  <si>
    <t>- Hồ sơ bị sai sót, dẫn đến chỉnh sửa nhiều lần. Vendor ở xa việc trao đổi thông tin cũng như gửi văn bản qua lại bị hạn chế.</t>
  </si>
  <si>
    <t>Chủ động xử lý công việc và hỗ trợ kịp thời. Không nhận được thông tin phản án từ các đơn vị/phòng/ban</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</si>
  <si>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</si>
  <si>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</si>
  <si>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</si>
  <si>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</si>
  <si>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</si>
  <si>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</si>
  <si>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</si>
  <si>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</si>
  <si>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</si>
  <si>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</si>
  <si>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</si>
  <si>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</si>
  <si>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</si>
  <si>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</si>
  <si>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</si>
  <si>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</si>
  <si>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</si>
  <si>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</si>
  <si>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</si>
  <si>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</si>
  <si>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</si>
  <si>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</si>
  <si>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</si>
  <si>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</si>
  <si>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</si>
  <si>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</si>
  <si>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</si>
  <si>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</si>
  <si>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</si>
  <si>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6.7</t>
  </si>
  <si>
    <t>6.8</t>
  </si>
  <si>
    <t>6.9</t>
  </si>
  <si>
    <t>6.10</t>
  </si>
  <si>
    <t>6.11</t>
  </si>
  <si>
    <t>6.12</t>
  </si>
  <si>
    <t>6.13</t>
  </si>
  <si>
    <t>6.14</t>
  </si>
  <si>
    <t>1.15</t>
  </si>
  <si>
    <r>
      <t>Nghiên cứu giải pháp Hợp đồng điện tử - chuyển đối số trong việc quản lý hồ sơ, hợp đồng và các chứng từ nội bộ (</t>
    </r>
    <r>
      <rPr>
        <b/>
        <i/>
        <sz val="12"/>
        <rFont val="Times New Roman"/>
        <family val="1"/>
      </rPr>
      <t>tờ trình, đề xuất, nghiệm thu….)</t>
    </r>
  </si>
  <si>
    <t>- Xem lại nội dung này &gt; Cảng LBT vẫn đang phản ảnh về hiện tượng này. Chưa xử lý triệt để.</t>
  </si>
  <si>
    <t>- Vẫn còn một số sự cố xảy ra tuy nhiên khắc phục kịp thời, Đảm bảo hệ thống phần mềm vận hành xuyên suốt, đáp ứng nhu cầu SXKD 24/7.
- Một số tính năng của phần mềm hoạt động chưa tốt, cần nghiên cứu cải thiện thêm.</t>
  </si>
  <si>
    <t>- Có ghi chép công việc thực hiện.
- Báo cáo đúng hạn, tuy nhiên cần xem lại biểu mẫu chung và chỉnh sửa lại đúng yêu cầu.</t>
  </si>
  <si>
    <t>- Số lượng CV hỗ trợ lắt nhắt nhiều, tốn nhiều thời gian để ghi chép.</t>
  </si>
  <si>
    <t>- Đáp ứng.</t>
  </si>
  <si>
    <t>- Thực hiện các công tác chuẩn bị: Thiết bị, tài khoản.
- Làm thủ tục lắp đặt, hướng dân sử dụng và Bàn giao Tablet xuống cho Vendor.
- Hỗ trợ Vận hành Quy trình chuẩn (có Tablet) trên xe trung chuyển.</t>
  </si>
  <si>
    <t>Phối hợp Phòng TCKT triển khai giải pháp thanh toán không tiền mặt trên phần mềm xe qua cổng (Lovad).</t>
  </si>
  <si>
    <t>- Phối hợp P.TCKT + Ngân hàng khảo sát.
- Làm việc với Lovad nghiên cứu phương án thực hiện (nếu có)</t>
  </si>
  <si>
    <t>- Đang đợi bên LOVAD gửi Hồ sơ và làm thủ tục trình ký.
- Phối hợp bảo trì phần mềm và làm thủ tục TT lần 1.</t>
  </si>
  <si>
    <t>- Đã chủ động hơn trong việc ghi nhận công việc và báo cáo công việc hằng tháng. Tuy nhiên cần xem lại công tác báo cáo, đúng mẫu chung và đưa vào đúng phạm vi công việc gây khó khăn trong quá trình theo dõi đánh giá. Cần cải thiện.
- Thực hiện tốt các chức năng nhiệm vụ được giao, hỗ trợ khắc phục sự cố kịp thời đảm bảo hoạt động của các Phần mềm KDSX. Tuy nhiên cần chủ động hơn trong việc tiếp nhận và xử lý sự cố/hỗ trợ vận hành phần mềm hơn (trong chức năng nhiệm vụ được giao) đặc biệt là ngoài giờ hành chính.
- Một số công việc chậm trễ vẫn chưa hoàn tất, cần sớm thực hiện, tránh để nhắc nhờ nhiều lần như hiện nay.
- Các dự án triển khai từ lâu hoặc chưa có kết quả hoặc chỉ đang nghiên cứu.</t>
  </si>
  <si>
    <t>- Đã hoàn tất khắc phục từ 22/5</t>
  </si>
  <si>
    <t>- Lỗi này phía nhà cung cấp khắc phục chậm trễ dẫn đến một số Nhân sự vào đã lâu mà chưa cấp được tài khoản.</t>
  </si>
  <si>
    <t>Làm việc với OCB về phát triển giải pháp QRCODE cho PM xe LOVAD</t>
  </si>
  <si>
    <t>Họp với Cảng LBT trao đổi về công tác điều chỉnh lệnh khai báo HBXC</t>
  </si>
  <si>
    <t>Kiểm tra tình trạng hoạt động của CHE và MC của PM VTOS tại EIR1</t>
  </si>
  <si>
    <t>- Chốt Phương án chỉnh sửa theo đề nghị của KVL và LBT</t>
  </si>
  <si>
    <t>- Trao đổi Phương án và cho khảo sát sơ bộ phần mềm LOVAD</t>
  </si>
  <si>
    <t>- Phần mềm hoạt dộng tốt, chưa ghi nhân hiện tượng lag như thông báo.</t>
  </si>
  <si>
    <t>+ Kịp thời không chậm trễ khi nhân sự trình ký
- HSTT mực in tháng 6 (23/6)</t>
  </si>
  <si>
    <t>Theo dõi giám sát hệ thống mạng và hạ tầng</t>
  </si>
  <si>
    <t>- Số lượng CSDL nhiều, dung lượng cao. Backup thủ công khó khăn.</t>
  </si>
  <si>
    <t>- Đã ghi chép chi tiết công việc thực hiện.</t>
  </si>
  <si>
    <t>CÔNG TY CP CẢNG ĐỒNG NAI
PHÒNG HCTH</t>
  </si>
  <si>
    <t>Go-live Module chính sách khách hàng VIP trên phần mềm VTOS</t>
  </si>
  <si>
    <t>Vận hành chính thức module</t>
  </si>
  <si>
    <t>Go-live Module QR Code trên eBilling</t>
  </si>
  <si>
    <t>- Thống nhất nội dung và thực hiện tạo tài khoản cho người dùng.
- Kiểm tra thiết bị: Tablet + củ sạc.
- Đã bàn giao thiết bị
- Đã hoàn tất triển khai ngày 27/07/2025 
- Đã vận hành chính thức vào ngày 13/09/2025</t>
  </si>
  <si>
    <t>- Khảo sát, rà soát toàn bộ hệ thống hiện hữu
- Trao đổi về giải pháp với các nhà cung cấp
- Lập báo cáo về hiện trạng BackUp hệ thống CNTT tại công ty và đề xuất triển khai hệ thống Backup tự động.
- Đã gửi báo cáo cho bộ phận ngày 11/07/2025
- Đã gửi báo cáo giải pháp cho bộ phận ngày 18/09/2025</t>
  </si>
  <si>
    <t>- Thực hiện các công tác chuẩn bị: Thiết bị, tài khoản.
- Làm thủ tục lắp đặt, hướng dân sử dụng và Bàn giao Tablet xuống cho Vendor.
- Hỗ trợ Vận hành Quy trình chuẩn (có Tablet) trên xe trung chuyển.
- Đã vận hành chính thức 13/09/2025</t>
  </si>
  <si>
    <t>- Cần Lập báo cáo, tờ trình xin ý kiến Ban Lãnh đạo chỉ đạo các Cảng, Phòng, Ban Nghiệp Vụ phối hợp chặt chẽ để triển khai thống nhất các nội dung: chức năng, báo cáo, thống kê, quản trị... cần có.
- Sắp xếp bố trí thời gian và hẹn lịch làm việc với Cảng GD và các đơn vị liên quan trong tháng 6 (A Tuấn Huỳnh chủ trì) để tháo gỡ khó khắn vướng mắc
+ Tiếp tục Hoàn thiện  Tài liệu đặc tả chức năng của phần mềm GTOS.
+ Đôn đốc các bộ phận, key user hoàn tất thông tin và tổng hợp lập báo cáo
+ Tổng hợp nội dung phản hồi về quy trình, chức năng nhiệm vụ của Cảng Gò Dầu</t>
  </si>
  <si>
    <t xml:space="preserve">Từ ngày 20/09/2025  đến hết ngày 20/10/2025 </t>
  </si>
  <si>
    <t>A. Thực hiện công việc tháng Từ ngày 20/09/2025 đến hết ngày 20/10/2025</t>
  </si>
  <si>
    <t xml:space="preserve">Phối hợp Mr Thành IT cấu hình domain </t>
  </si>
  <si>
    <t>BÁO CÁO TIẾN ĐỘ CÔNG VIỆC - BỘ PHẬN IT
VÀ KẾ HOẠCH CÔNG VIỆC THÁNG TIẾP THEO</t>
  </si>
  <si>
    <t>Hỗ trợ reset pass email cho Ms Nguyệt Cảng Gò Dầu</t>
  </si>
  <si>
    <t>Điều chỉnh khối lượng kết toán trên phần mềm Client cho Cảng LBT</t>
  </si>
  <si>
    <t>Hỗ trợ cập nhật báo cáo cho hãng tàu ESL</t>
  </si>
  <si>
    <t>Công tác Cảng Gò Dầu khắc phục mạng bị chậm cho toàn hệ thống Cảng Gò Dầu</t>
  </si>
  <si>
    <t>Phối hợp hỗ trợ khắc phục sự cố đứt cáp quang cho Hải Quan</t>
  </si>
  <si>
    <t>Tổ chức nghiệm thu nâng cấp phần mềm VTOS với Cảng LBT, Phòng Kho vận Logistics</t>
  </si>
  <si>
    <t>Phối hợp với CEH nghiệm thu nâng cấp phần mềm VTOS</t>
  </si>
  <si>
    <t>Hỗ trợ tái thiết lập tài khoản email cho Mr Duy - Cảng Gò Dầu</t>
  </si>
  <si>
    <t>Hỗ trợ điều chỉnh dữ liệu trên phần mềm Client cho Cảng Gò Dầu</t>
  </si>
  <si>
    <t>- Đã hoàn tất hồ sơ thanh toán 50% đợt I chuyển phòng TCKT</t>
  </si>
  <si>
    <t>13/10/2025</t>
  </si>
  <si>
    <t>15/10/2025</t>
  </si>
  <si>
    <t>Thanh toán đợt 2 và 3 bảo trì phần mềm portal</t>
  </si>
  <si>
    <t>20/10/2025</t>
  </si>
  <si>
    <t>Cấp lại mật khẩu email cho Mr Hiếu - TCKT</t>
  </si>
  <si>
    <t>Cấp lại mật khẩu email cho Mr Thoa - TCKT</t>
  </si>
  <si>
    <t>Phối hợp cùng Mr Bảo (IT) Backup hệ thống database tại công ty</t>
  </si>
  <si>
    <t>21/09/2025</t>
  </si>
  <si>
    <t>Khắc phục sự cố trích xuất dữ liệu báo cáo phần mềm Client cho Cảng Gò Dầu</t>
  </si>
  <si>
    <t>26/09/2025</t>
  </si>
  <si>
    <t>20/10</t>
  </si>
  <si>
    <t>Nghiên cứu giải pháp iOffice</t>
  </si>
  <si>
    <t>Liên hệ các Vendor gửi giải pháp iOffice để nghiên cứu</t>
  </si>
  <si>
    <t>Khắc phục lỗi dữ liệu cho phần mềm Client</t>
  </si>
  <si>
    <t>Cấp tài khoản Portal, Client cho 04 nhân sự mới của Đội Cơ Giới - Cảng LBT</t>
  </si>
  <si>
    <t>Hoàn tất hồ sơ hợp đồng trang bị hệ thống Backup tự động dữ liệu hệ thống máy chủ tại công ty</t>
  </si>
  <si>
    <t>Hỗ trợ Ms Thảo - Ban KSNB sử dụng các chức năng báo cáo trên VSL</t>
  </si>
  <si>
    <t>Hỗ trợ Mr Khổng Tuấn không vào được website của phần mềm Lovad</t>
  </si>
  <si>
    <t>Phối hợp cùng CEH nghiên cứu chức năng báo cáo tự động cho khách hàng Wanek</t>
  </si>
  <si>
    <t>Hỗ trợ Ms Hải - Cảng GD điều chỉnh dữ liệu nhập sai trên phần mềm Client</t>
  </si>
  <si>
    <t>Hỗ trợ khắc phục sự cố PC cho Ms Hương - Cảng GD</t>
  </si>
  <si>
    <t>Hỗ trợ Mr Khôi, Mr Hiếu - Ban KSNB đối chiếu dữ liệu báo cáo VSL và VTOS</t>
  </si>
  <si>
    <t>Hỗ trợ Mr Lâm - Phòng KVL khắc phục sự cố email bị spam</t>
  </si>
  <si>
    <t>Hỗ trợ Ms Thu - Phòng KVL về báo cáo trên VSL</t>
  </si>
  <si>
    <t>Khắc phục sự cố báo cáo tự động cho hãng tàu</t>
  </si>
  <si>
    <t>Điều chỉnh email nhận báo cáo cho hãng tài ESL</t>
  </si>
  <si>
    <t>Phối hợp cùng CEH kiểm tra va</t>
  </si>
  <si>
    <t>16/10/2025</t>
  </si>
  <si>
    <t>Khắc phục sự cố không báo cáo EDI cho hãng tàu WANHAI</t>
  </si>
  <si>
    <t>Hỗ trợ Ms Phương - Phòng KD xem hợp đồng trên thư mục chung</t>
  </si>
  <si>
    <t>Phối hợp cùng Lovad thống nhất lịch khảo sát xây dựng hệ thống An Ninh giám sát cho VP mới</t>
  </si>
  <si>
    <t>17/10/2025</t>
  </si>
  <si>
    <t>Kế hoạch công việc tháng tiếp theo: (Từ ngày 20/10/2025 đến hết ngày 20/11/2025)</t>
  </si>
  <si>
    <t>- Nghiên cứu chức năng, độ phù hợp của các loại License tại công ty
- Khảo sát số lượng License cần thiết cho từng loại License
- 30/05/2025 liên hệ vendor báo giá các loại License: Windows GGWA, Office Std2024 (dùng cho PC, Laptop), Office365 (dùng cho iPad), AutoCad.
- Liên hệ báo giá và lập hồ sơ
- Đã chuyển kinh phí trang bị năm 2026</t>
  </si>
  <si>
    <t xml:space="preserve">- Khảo sát, rà soát toàn bộ hệ thống hiện hữu
- Trao đổi về giải pháp với các nhà cung cấp
- Lập báo cáo về hiện trạng BackUp hệ thống CNTT tại công ty và đề xuất triển khai hệ thống Backup tự động.
- Hoàn tất báo cáo xin chủ trương đầu tư kèm dự toán.
- Đã hoàn tất thủ tục ký hợp đồng và thanh toán 50% đợt 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</si>
</sst>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_(* #,##0_);_(* \(#,##0\);_(* &quot;-&quot;??_);_(@_)"/>
    <numFmt numFmtId="166" formatCode="dd/mm"/>
  </numFmts>
  <fonts count="45">
    <font>
      <sz val="11"/>
      <color theme="1"/>
      <name val="Arial"/>
      <charset val="134"/>
      <scheme val="minor"/>
    </font>
    <font>
      <b/>
      <sz val="12"/>
      <color indexed="8"/>
      <name val="Calibri"/>
      <family val="2"/>
    </font>
    <font>
      <b/>
      <sz val="12"/>
      <color indexed="8"/>
      <name val="Times New Roman"/>
      <family val="1"/>
    </font>
    <font>
      <b/>
      <sz val="14"/>
      <color indexed="8"/>
      <name val="Times New Roman"/>
      <family val="1"/>
    </font>
    <font>
      <sz val="12"/>
      <color indexed="8"/>
      <name val="Times New Roman"/>
      <family val="1"/>
    </font>
    <font>
      <b/>
      <sz val="9"/>
      <name val="Tahoma"/>
      <family val="2"/>
    </font>
    <font>
      <sz val="9"/>
      <name val="Tahoma"/>
      <family val="2"/>
    </font>
    <font>
      <sz val="11"/>
      <color theme="1"/>
      <name val="Arial"/>
      <family val="2"/>
      <scheme val="minor"/>
    </font>
    <font>
      <sz val="12"/>
      <name val="Times New Roman"/>
      <family val="1"/>
    </font>
    <font>
      <sz val="13"/>
      <color indexed="8"/>
      <name val="Times New Roman"/>
      <family val="1"/>
    </font>
    <font>
      <b/>
      <sz val="13"/>
      <color indexed="8"/>
      <name val="Times New Roman"/>
      <family val="1"/>
    </font>
    <font>
      <sz val="13"/>
      <color theme="1"/>
      <name val="Times New Roman"/>
      <family val="1"/>
    </font>
    <font>
      <sz val="11"/>
      <color indexed="8"/>
      <name val="Times New Roman"/>
      <family val="1"/>
    </font>
    <font>
      <sz val="11"/>
      <name val="Times New Roman"/>
      <family val="1"/>
    </font>
    <font>
      <b/>
      <sz val="11"/>
      <color indexed="8"/>
      <name val="Times New Roman"/>
      <family val="1"/>
    </font>
    <font>
      <b/>
      <sz val="12"/>
      <name val="Times New Roman"/>
      <family val="1"/>
    </font>
    <font>
      <b/>
      <sz val="12"/>
      <name val="Calibri"/>
      <family val="2"/>
    </font>
    <font>
      <sz val="11"/>
      <name val="Arial"/>
      <family val="2"/>
      <scheme val="minor"/>
    </font>
    <font>
      <sz val="12"/>
      <color rgb="FFFF0000"/>
      <name val="Times New Roman"/>
      <family val="1"/>
    </font>
    <font>
      <sz val="11"/>
      <color rgb="FFFF0000"/>
      <name val="Arial"/>
      <family val="2"/>
      <scheme val="minor"/>
    </font>
    <font>
      <b/>
      <sz val="12"/>
      <color rgb="FFFF0000"/>
      <name val="Times New Roman"/>
      <family val="1"/>
    </font>
    <font>
      <sz val="11"/>
      <color rgb="FFFF0000"/>
      <name val="Times New Roman"/>
      <family val="1"/>
    </font>
    <font>
      <sz val="10"/>
      <name val="Arial"/>
      <family val="2"/>
    </font>
    <font>
      <b/>
      <sz val="11"/>
      <name val="Times New Roman"/>
      <family val="1"/>
    </font>
    <font>
      <sz val="11"/>
      <color theme="1"/>
      <name val="Times New Roman"/>
      <family val="1"/>
    </font>
    <font>
      <sz val="12"/>
      <color theme="1"/>
      <name val="Times New Roman"/>
      <family val="1"/>
    </font>
    <font>
      <sz val="11"/>
      <color rgb="FFFF0000"/>
      <name val="Arial"/>
      <family val="2"/>
      <scheme val="minor"/>
    </font>
    <font>
      <sz val="12"/>
      <color rgb="FF002060"/>
      <name val="Times New Roman"/>
      <family val="1"/>
    </font>
    <font>
      <sz val="11"/>
      <color rgb="FF002060"/>
      <name val="Arial"/>
      <family val="2"/>
      <scheme val="minor"/>
    </font>
    <font>
      <sz val="13"/>
      <name val="Times New Roman"/>
      <family val="1"/>
    </font>
    <font>
      <b/>
      <sz val="12"/>
      <color theme="1"/>
      <name val="Times New Roman"/>
      <family val="1"/>
    </font>
    <font>
      <i/>
      <sz val="12"/>
      <color theme="1"/>
      <name val="Times New Roman"/>
      <family val="1"/>
    </font>
    <font>
      <b/>
      <sz val="11"/>
      <color theme="1"/>
      <name val="Times New Roman"/>
      <family val="1"/>
    </font>
    <font>
      <b/>
      <sz val="12"/>
      <name val="Times New Roman"/>
      <family val="1"/>
      <charset val="163"/>
    </font>
    <font>
      <b/>
      <sz val="16"/>
      <name val="Times New Roman"/>
      <family val="1"/>
    </font>
    <font>
      <i/>
      <sz val="12"/>
      <name val="Times New Roman"/>
      <family val="1"/>
    </font>
    <font>
      <b/>
      <sz val="14"/>
      <name val="Times New Roman"/>
      <family val="1"/>
    </font>
    <font>
      <b/>
      <sz val="11"/>
      <name val="Arial"/>
      <family val="2"/>
      <scheme val="minor"/>
    </font>
    <font>
      <b/>
      <sz val="11"/>
      <name val="Times New Roman"/>
      <family val="1"/>
      <charset val="163"/>
    </font>
    <font>
      <b/>
      <sz val="11"/>
      <name val="Arial"/>
      <family val="2"/>
      <charset val="163"/>
      <scheme val="minor"/>
    </font>
    <font>
      <b/>
      <sz val="13"/>
      <name val="Times New Roman"/>
      <family val="1"/>
    </font>
    <font>
      <sz val="8"/>
      <name val="Arial"/>
      <family val="2"/>
      <scheme val="minor"/>
    </font>
    <font>
      <b/>
      <i/>
      <sz val="12"/>
      <name val="Times New Roman"/>
      <family val="1"/>
    </font>
    <font>
      <sz val="9"/>
      <color indexed="81"/>
      <name val="Tahoma"/>
      <family val="2"/>
    </font>
    <font>
      <b/>
      <sz val="9"/>
      <color indexed="81"/>
      <name val="Tahoma"/>
      <family val="2"/>
    </font>
  </fonts>
  <fills count="5">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tint="-0.14999847407452621"/>
        <bgColor indexed="64"/>
      </patternFill>
    </fill>
  </fills>
  <borders count="21">
    <border>
      <left/>
      <right/>
      <top/>
      <bottom/>
      <diagonal/>
    </border>
    <border>
      <left/>
      <right/>
      <top/>
      <bottom style="double">
        <color auto="1"/>
      </bottom>
      <diagonal/>
    </border>
    <border>
      <left/>
      <right style="thin">
        <color auto="1"/>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style="thin">
        <color auto="1"/>
      </top>
      <bottom/>
      <diagonal/>
    </border>
  </borders>
  <cellStyleXfs count="4">
    <xf numFmtId="0" fontId="0" fillId="0" borderId="0"/>
    <xf numFmtId="43" fontId="7" fillId="0" borderId="0" applyFont="0" applyFill="0" applyBorder="0" applyAlignment="0" applyProtection="0"/>
    <xf numFmtId="0" fontId="22" fillId="0" borderId="0"/>
    <xf numFmtId="0" fontId="22" fillId="0" borderId="0"/>
  </cellStyleXfs>
  <cellXfs count="581">
    <xf numFmtId="0" fontId="0" fillId="0" borderId="0" xfId="0"/>
    <xf numFmtId="0" fontId="1" fillId="0" borderId="0" xfId="0" applyFont="1"/>
    <xf numFmtId="0" fontId="4" fillId="0" borderId="0" xfId="0" applyFont="1"/>
    <xf numFmtId="0" fontId="2" fillId="0" borderId="0" xfId="0" applyFont="1"/>
    <xf numFmtId="0" fontId="4" fillId="0" borderId="3" xfId="0" applyFont="1" applyBorder="1"/>
    <xf numFmtId="0" fontId="2" fillId="0" borderId="3" xfId="0" applyFont="1" applyBorder="1" applyAlignment="1">
      <alignment horizontal="center"/>
    </xf>
    <xf numFmtId="0" fontId="2" fillId="0" borderId="3" xfId="0" applyFont="1" applyBorder="1"/>
    <xf numFmtId="0" fontId="4" fillId="0" borderId="3" xfId="0" quotePrefix="1" applyFont="1" applyBorder="1" applyAlignment="1">
      <alignment horizontal="left" vertical="center" wrapText="1"/>
    </xf>
    <xf numFmtId="0" fontId="0" fillId="0" borderId="0" xfId="0" applyAlignment="1">
      <alignment vertical="center"/>
    </xf>
    <xf numFmtId="0" fontId="4" fillId="0" borderId="3" xfId="0" applyFont="1" applyBorder="1" applyAlignment="1">
      <alignment vertical="center"/>
    </xf>
    <xf numFmtId="0" fontId="4" fillId="0" borderId="3" xfId="0" applyFont="1" applyBorder="1" applyAlignment="1">
      <alignment horizontal="center" vertical="center"/>
    </xf>
    <xf numFmtId="0" fontId="4" fillId="0" borderId="3" xfId="0" quotePrefix="1" applyFont="1" applyBorder="1" applyAlignment="1">
      <alignment vertical="center" wrapText="1"/>
    </xf>
    <xf numFmtId="0" fontId="4" fillId="0" borderId="3" xfId="0" applyFont="1" applyBorder="1" applyAlignment="1">
      <alignment vertical="center" wrapText="1"/>
    </xf>
    <xf numFmtId="3" fontId="4" fillId="0" borderId="3" xfId="0" applyNumberFormat="1" applyFont="1" applyBorder="1" applyAlignment="1">
      <alignment vertical="center"/>
    </xf>
    <xf numFmtId="164" fontId="4" fillId="0" borderId="3" xfId="1" applyNumberFormat="1" applyFont="1" applyBorder="1" applyAlignment="1">
      <alignment vertical="center"/>
    </xf>
    <xf numFmtId="0" fontId="8" fillId="0" borderId="3" xfId="0" applyFont="1" applyBorder="1" applyAlignment="1">
      <alignment horizontal="left" vertical="center" wrapText="1"/>
    </xf>
    <xf numFmtId="0" fontId="8" fillId="0" borderId="3" xfId="0" quotePrefix="1" applyFont="1" applyBorder="1" applyAlignment="1">
      <alignment horizontal="left" vertical="center" wrapText="1"/>
    </xf>
    <xf numFmtId="0" fontId="4" fillId="0" borderId="3" xfId="0" quotePrefix="1" applyFont="1" applyBorder="1" applyAlignment="1">
      <alignment vertical="top" wrapText="1"/>
    </xf>
    <xf numFmtId="0" fontId="4" fillId="0" borderId="3" xfId="0" applyFont="1" applyBorder="1" applyAlignment="1">
      <alignment horizontal="center" vertical="center" wrapText="1"/>
    </xf>
    <xf numFmtId="0" fontId="0" fillId="0" borderId="0" xfId="0" applyAlignment="1">
      <alignment wrapText="1"/>
    </xf>
    <xf numFmtId="0" fontId="4" fillId="0" borderId="3" xfId="0" quotePrefix="1" applyFont="1" applyBorder="1" applyAlignment="1">
      <alignment horizontal="center" vertical="center" wrapText="1"/>
    </xf>
    <xf numFmtId="0" fontId="0" fillId="0" borderId="3" xfId="0" applyBorder="1" applyAlignment="1">
      <alignment wrapText="1"/>
    </xf>
    <xf numFmtId="0" fontId="9" fillId="0" borderId="0" xfId="0" applyFont="1"/>
    <xf numFmtId="0" fontId="11" fillId="0" borderId="0" xfId="0" applyFont="1"/>
    <xf numFmtId="14" fontId="12" fillId="0" borderId="3" xfId="0" applyNumberFormat="1" applyFont="1" applyBorder="1" applyAlignment="1">
      <alignment vertical="center" wrapText="1"/>
    </xf>
    <xf numFmtId="0" fontId="12" fillId="0" borderId="0" xfId="0" applyFont="1" applyAlignment="1">
      <alignment vertical="center"/>
    </xf>
    <xf numFmtId="0" fontId="14" fillId="2" borderId="3" xfId="0" applyFont="1" applyFill="1" applyBorder="1" applyAlignment="1">
      <alignment vertical="center"/>
    </xf>
    <xf numFmtId="0" fontId="12" fillId="0" borderId="3" xfId="0" applyFont="1" applyBorder="1" applyAlignment="1">
      <alignment vertical="center"/>
    </xf>
    <xf numFmtId="0" fontId="14" fillId="0" borderId="3" xfId="0" applyFont="1" applyBorder="1" applyAlignment="1">
      <alignment vertical="center"/>
    </xf>
    <xf numFmtId="14" fontId="13" fillId="0" borderId="3" xfId="0" applyNumberFormat="1" applyFont="1" applyBorder="1" applyAlignment="1">
      <alignment vertical="center" wrapText="1"/>
    </xf>
    <xf numFmtId="0" fontId="4" fillId="0" borderId="3" xfId="0" applyFont="1" applyBorder="1" applyAlignment="1">
      <alignment horizontal="justify" vertical="center" wrapText="1"/>
    </xf>
    <xf numFmtId="0" fontId="2" fillId="0" borderId="3" xfId="0" quotePrefix="1" applyFont="1" applyBorder="1"/>
    <xf numFmtId="0" fontId="4" fillId="0" borderId="3" xfId="0" quotePrefix="1" applyFont="1" applyBorder="1" applyAlignment="1">
      <alignment horizontal="justify" vertical="center" wrapText="1"/>
    </xf>
    <xf numFmtId="0" fontId="4" fillId="0" borderId="0" xfId="0" quotePrefix="1" applyFont="1" applyAlignment="1">
      <alignment vertical="center" wrapText="1"/>
    </xf>
    <xf numFmtId="0" fontId="16" fillId="0" borderId="0" xfId="0" applyFont="1"/>
    <xf numFmtId="0" fontId="15" fillId="0" borderId="3" xfId="0" applyFont="1" applyBorder="1" applyAlignment="1">
      <alignment horizontal="center"/>
    </xf>
    <xf numFmtId="0" fontId="15" fillId="0" borderId="3" xfId="0" applyFont="1" applyBorder="1"/>
    <xf numFmtId="0" fontId="8" fillId="0" borderId="3" xfId="0" applyFont="1" applyBorder="1"/>
    <xf numFmtId="0" fontId="8" fillId="0" borderId="8" xfId="0" applyFont="1" applyBorder="1"/>
    <xf numFmtId="0" fontId="8" fillId="0" borderId="9" xfId="0" applyFont="1" applyBorder="1"/>
    <xf numFmtId="0" fontId="17" fillId="0" borderId="0" xfId="0" applyFont="1"/>
    <xf numFmtId="0" fontId="15" fillId="0" borderId="9" xfId="0" applyFont="1" applyBorder="1" applyAlignment="1">
      <alignment horizontal="center" vertical="center"/>
    </xf>
    <xf numFmtId="0" fontId="8" fillId="0" borderId="3" xfId="0" applyFont="1" applyBorder="1" applyAlignment="1">
      <alignment vertical="center" wrapText="1"/>
    </xf>
    <xf numFmtId="14" fontId="8" fillId="0" borderId="9" xfId="0" applyNumberFormat="1" applyFont="1" applyBorder="1" applyAlignment="1">
      <alignment horizontal="center" vertical="center" wrapText="1"/>
    </xf>
    <xf numFmtId="0" fontId="8" fillId="0" borderId="3" xfId="0" applyFont="1" applyBorder="1" applyAlignment="1">
      <alignment horizontal="center" vertical="center"/>
    </xf>
    <xf numFmtId="0" fontId="8" fillId="0" borderId="10" xfId="0" quotePrefix="1" applyFont="1" applyBorder="1" applyAlignment="1">
      <alignment vertical="center" wrapText="1"/>
    </xf>
    <xf numFmtId="0" fontId="8" fillId="0" borderId="8" xfId="0" applyFont="1" applyBorder="1" applyAlignment="1">
      <alignment vertical="center"/>
    </xf>
    <xf numFmtId="0" fontId="15" fillId="0" borderId="3" xfId="0" applyFont="1" applyBorder="1" applyAlignment="1">
      <alignment vertical="center" wrapText="1"/>
    </xf>
    <xf numFmtId="0" fontId="8" fillId="0" borderId="9" xfId="0" applyFont="1" applyBorder="1" applyAlignment="1">
      <alignment horizontal="center" vertical="center"/>
    </xf>
    <xf numFmtId="14" fontId="8" fillId="0" borderId="3" xfId="0" applyNumberFormat="1" applyFont="1" applyBorder="1" applyAlignment="1">
      <alignment horizontal="center" vertical="center" wrapText="1"/>
    </xf>
    <xf numFmtId="0" fontId="8" fillId="0" borderId="3" xfId="0" applyFont="1" applyBorder="1" applyAlignment="1">
      <alignment vertical="center"/>
    </xf>
    <xf numFmtId="0" fontId="8" fillId="0" borderId="3" xfId="0" applyFont="1" applyBorder="1" applyAlignment="1">
      <alignment horizontal="right" vertical="center"/>
    </xf>
    <xf numFmtId="0" fontId="17" fillId="0" borderId="0" xfId="0" applyFont="1" applyAlignment="1">
      <alignment vertical="center"/>
    </xf>
    <xf numFmtId="0" fontId="8" fillId="0" borderId="10" xfId="0" applyFont="1" applyBorder="1" applyAlignment="1">
      <alignment horizontal="left" vertical="center" wrapText="1"/>
    </xf>
    <xf numFmtId="0" fontId="8" fillId="0" borderId="10" xfId="0" applyFont="1" applyBorder="1" applyAlignment="1">
      <alignment vertical="center" wrapText="1"/>
    </xf>
    <xf numFmtId="14" fontId="8" fillId="0" borderId="10" xfId="0" applyNumberFormat="1" applyFont="1" applyBorder="1" applyAlignment="1">
      <alignment horizontal="left" vertical="center" wrapText="1"/>
    </xf>
    <xf numFmtId="0" fontId="8" fillId="0" borderId="3" xfId="0" quotePrefix="1" applyFont="1" applyBorder="1" applyAlignment="1">
      <alignment vertical="center" wrapText="1"/>
    </xf>
    <xf numFmtId="0" fontId="8" fillId="0" borderId="10" xfId="0" applyFont="1" applyBorder="1" applyAlignment="1">
      <alignment horizontal="center" vertical="center"/>
    </xf>
    <xf numFmtId="0" fontId="15" fillId="0" borderId="10" xfId="0" applyFont="1" applyBorder="1" applyAlignment="1">
      <alignment horizontal="center"/>
    </xf>
    <xf numFmtId="0" fontId="15" fillId="0" borderId="10" xfId="0" applyFont="1" applyBorder="1"/>
    <xf numFmtId="0" fontId="8" fillId="0" borderId="3" xfId="0" quotePrefix="1" applyFont="1" applyBorder="1" applyAlignment="1">
      <alignment horizontal="center" vertical="center" wrapText="1"/>
    </xf>
    <xf numFmtId="0" fontId="8" fillId="0" borderId="3" xfId="0" applyFont="1" applyBorder="1" applyAlignment="1">
      <alignment horizontal="right"/>
    </xf>
    <xf numFmtId="0" fontId="19" fillId="0" borderId="0" xfId="0" applyFont="1" applyAlignment="1">
      <alignment vertical="center"/>
    </xf>
    <xf numFmtId="0" fontId="8" fillId="0" borderId="3" xfId="0" applyFont="1" applyBorder="1" applyAlignment="1">
      <alignment horizontal="center"/>
    </xf>
    <xf numFmtId="0" fontId="8" fillId="0" borderId="10" xfId="0" applyFont="1" applyBorder="1" applyAlignment="1">
      <alignment horizontal="center" vertical="center" wrapText="1"/>
    </xf>
    <xf numFmtId="165" fontId="8" fillId="0" borderId="3" xfId="1" applyNumberFormat="1" applyFont="1" applyBorder="1" applyAlignment="1">
      <alignment vertical="center"/>
    </xf>
    <xf numFmtId="0" fontId="8" fillId="0" borderId="3" xfId="0" applyFont="1" applyBorder="1" applyAlignment="1">
      <alignment horizontal="center" vertical="center" wrapText="1"/>
    </xf>
    <xf numFmtId="0" fontId="8" fillId="0" borderId="10" xfId="0" applyFont="1" applyBorder="1" applyAlignment="1">
      <alignment vertical="center"/>
    </xf>
    <xf numFmtId="0" fontId="15" fillId="0" borderId="7" xfId="0" applyFont="1" applyBorder="1" applyAlignment="1">
      <alignment horizontal="center"/>
    </xf>
    <xf numFmtId="0" fontId="15" fillId="0" borderId="7" xfId="0" applyFont="1" applyBorder="1"/>
    <xf numFmtId="0" fontId="19" fillId="0" borderId="0" xfId="0" applyFont="1"/>
    <xf numFmtId="0" fontId="8" fillId="0" borderId="3" xfId="2" quotePrefix="1" applyFont="1" applyBorder="1" applyAlignment="1">
      <alignment horizontal="left" vertical="center" wrapText="1"/>
    </xf>
    <xf numFmtId="0" fontId="15" fillId="0" borderId="10" xfId="0" applyFont="1" applyBorder="1" applyAlignment="1">
      <alignment wrapText="1"/>
    </xf>
    <xf numFmtId="0" fontId="8" fillId="0" borderId="3" xfId="0" applyFont="1" applyBorder="1" applyAlignment="1">
      <alignment horizontal="justify" vertical="center" wrapText="1"/>
    </xf>
    <xf numFmtId="14" fontId="13" fillId="0" borderId="3" xfId="0" applyNumberFormat="1" applyFont="1" applyBorder="1" applyAlignment="1">
      <alignment horizontal="center" vertical="center" wrapText="1"/>
    </xf>
    <xf numFmtId="0" fontId="12" fillId="0" borderId="0" xfId="0" applyFont="1"/>
    <xf numFmtId="0" fontId="14" fillId="2" borderId="3" xfId="0" applyFont="1" applyFill="1" applyBorder="1" applyAlignment="1">
      <alignment horizontal="center" vertical="center"/>
    </xf>
    <xf numFmtId="0" fontId="12" fillId="0" borderId="3" xfId="0" applyFont="1" applyBorder="1"/>
    <xf numFmtId="0" fontId="14" fillId="2" borderId="7" xfId="0" applyFont="1" applyFill="1" applyBorder="1" applyAlignment="1">
      <alignment horizontal="center" vertical="center"/>
    </xf>
    <xf numFmtId="0" fontId="13" fillId="0" borderId="3" xfId="0" applyFont="1" applyBorder="1"/>
    <xf numFmtId="14" fontId="13" fillId="0" borderId="3" xfId="0" applyNumberFormat="1" applyFont="1" applyBorder="1" applyAlignment="1">
      <alignment horizontal="left" vertical="center" wrapText="1"/>
    </xf>
    <xf numFmtId="14" fontId="13" fillId="0" borderId="10" xfId="0" applyNumberFormat="1" applyFont="1" applyBorder="1" applyAlignment="1">
      <alignment horizontal="left" vertical="center" wrapText="1"/>
    </xf>
    <xf numFmtId="0" fontId="23" fillId="2" borderId="3" xfId="0" applyFont="1" applyFill="1" applyBorder="1" applyAlignment="1">
      <alignment horizontal="center" vertical="center"/>
    </xf>
    <xf numFmtId="0" fontId="13" fillId="0" borderId="7" xfId="0" applyFont="1" applyBorder="1"/>
    <xf numFmtId="14" fontId="13" fillId="0" borderId="9" xfId="0" applyNumberFormat="1" applyFont="1" applyBorder="1" applyAlignment="1">
      <alignment horizontal="left" vertical="center" wrapText="1"/>
    </xf>
    <xf numFmtId="0" fontId="23" fillId="0" borderId="3" xfId="0" applyFont="1" applyBorder="1"/>
    <xf numFmtId="0" fontId="23" fillId="2" borderId="7" xfId="0" applyFont="1" applyFill="1" applyBorder="1" applyAlignment="1">
      <alignment horizontal="center" vertical="center"/>
    </xf>
    <xf numFmtId="0" fontId="13" fillId="0" borderId="3" xfId="0" applyFont="1" applyBorder="1" applyAlignment="1">
      <alignment horizontal="center" vertical="center"/>
    </xf>
    <xf numFmtId="14" fontId="13" fillId="0" borderId="10" xfId="0" applyNumberFormat="1" applyFont="1" applyBorder="1" applyAlignment="1">
      <alignment horizontal="center" vertical="center" wrapText="1"/>
    </xf>
    <xf numFmtId="0" fontId="13" fillId="0" borderId="9" xfId="0" applyFont="1" applyBorder="1"/>
    <xf numFmtId="0" fontId="7" fillId="0" borderId="0" xfId="0" applyFont="1"/>
    <xf numFmtId="0" fontId="24" fillId="0" borderId="0" xfId="0" applyFont="1"/>
    <xf numFmtId="166" fontId="12" fillId="0" borderId="3" xfId="0" applyNumberFormat="1" applyFont="1" applyBorder="1" applyAlignment="1">
      <alignment vertical="center" wrapText="1"/>
    </xf>
    <xf numFmtId="166" fontId="13" fillId="0" borderId="3" xfId="0" applyNumberFormat="1" applyFont="1" applyBorder="1" applyAlignment="1">
      <alignment horizontal="center" vertical="center" wrapText="1"/>
    </xf>
    <xf numFmtId="166" fontId="13" fillId="0" borderId="3" xfId="0" applyNumberFormat="1" applyFont="1" applyBorder="1" applyAlignment="1">
      <alignment horizontal="left" vertical="center" wrapText="1"/>
    </xf>
    <xf numFmtId="166" fontId="13" fillId="0" borderId="10" xfId="0" applyNumberFormat="1" applyFont="1" applyBorder="1" applyAlignment="1">
      <alignment horizontal="left" vertical="center" wrapText="1"/>
    </xf>
    <xf numFmtId="166" fontId="13" fillId="0" borderId="10" xfId="0" applyNumberFormat="1" applyFont="1" applyBorder="1" applyAlignment="1">
      <alignment horizontal="center" vertical="center" wrapText="1"/>
    </xf>
    <xf numFmtId="166" fontId="13" fillId="0" borderId="3" xfId="0" applyNumberFormat="1" applyFont="1" applyBorder="1" applyAlignment="1">
      <alignment horizontal="center" vertical="center"/>
    </xf>
    <xf numFmtId="164" fontId="8" fillId="0" borderId="3" xfId="1" applyNumberFormat="1" applyFont="1" applyBorder="1" applyAlignment="1">
      <alignment horizontal="right" vertical="center"/>
    </xf>
    <xf numFmtId="0" fontId="0" fillId="0" borderId="3" xfId="0" applyBorder="1" applyAlignment="1">
      <alignment vertical="center"/>
    </xf>
    <xf numFmtId="0" fontId="20" fillId="3" borderId="0" xfId="0" applyFont="1" applyFill="1"/>
    <xf numFmtId="0" fontId="18" fillId="3" borderId="0" xfId="0" applyFont="1" applyFill="1"/>
    <xf numFmtId="0" fontId="21" fillId="3" borderId="0" xfId="0" applyFont="1" applyFill="1" applyAlignment="1">
      <alignment vertical="center"/>
    </xf>
    <xf numFmtId="0" fontId="18" fillId="3" borderId="4" xfId="0" applyFont="1" applyFill="1" applyBorder="1"/>
    <xf numFmtId="0" fontId="15" fillId="0" borderId="3" xfId="0" applyFont="1" applyBorder="1" applyAlignment="1">
      <alignment horizontal="center" vertical="center"/>
    </xf>
    <xf numFmtId="0" fontId="15" fillId="0" borderId="0" xfId="0" applyFont="1" applyAlignment="1">
      <alignment horizontal="center" vertical="center"/>
    </xf>
    <xf numFmtId="0" fontId="15" fillId="0" borderId="0" xfId="0" applyFont="1"/>
    <xf numFmtId="0" fontId="15" fillId="0" borderId="0" xfId="0" applyFont="1" applyAlignment="1">
      <alignment horizontal="center"/>
    </xf>
    <xf numFmtId="0" fontId="8" fillId="3" borderId="0" xfId="0" applyFont="1" applyFill="1"/>
    <xf numFmtId="0" fontId="13" fillId="3" borderId="0" xfId="0" applyFont="1" applyFill="1"/>
    <xf numFmtId="0" fontId="15" fillId="3" borderId="0" xfId="0" applyFont="1" applyFill="1"/>
    <xf numFmtId="0" fontId="15" fillId="0" borderId="2" xfId="0" applyFont="1" applyBorder="1" applyAlignment="1">
      <alignment horizontal="center"/>
    </xf>
    <xf numFmtId="0" fontId="8" fillId="0" borderId="10" xfId="0" applyFont="1" applyBorder="1"/>
    <xf numFmtId="0" fontId="15" fillId="3" borderId="3" xfId="0" applyFont="1" applyFill="1" applyBorder="1"/>
    <xf numFmtId="0" fontId="8" fillId="3" borderId="3" xfId="0" applyFont="1" applyFill="1" applyBorder="1"/>
    <xf numFmtId="0" fontId="13" fillId="3" borderId="3" xfId="0" applyFont="1" applyFill="1" applyBorder="1"/>
    <xf numFmtId="166" fontId="12" fillId="0" borderId="3" xfId="0" applyNumberFormat="1" applyFont="1" applyBorder="1" applyAlignment="1">
      <alignment horizontal="center" vertical="center" wrapText="1"/>
    </xf>
    <xf numFmtId="0" fontId="15" fillId="0" borderId="9" xfId="0" applyFont="1" applyBorder="1"/>
    <xf numFmtId="0" fontId="2" fillId="3" borderId="16" xfId="0" applyFont="1" applyFill="1" applyBorder="1"/>
    <xf numFmtId="0" fontId="4" fillId="3" borderId="16" xfId="0" applyFont="1" applyFill="1" applyBorder="1"/>
    <xf numFmtId="0" fontId="12" fillId="3" borderId="16" xfId="0" applyFont="1" applyFill="1" applyBorder="1" applyAlignment="1">
      <alignment vertical="center"/>
    </xf>
    <xf numFmtId="0" fontId="4" fillId="3" borderId="17" xfId="0" applyFont="1" applyFill="1" applyBorder="1"/>
    <xf numFmtId="0" fontId="8" fillId="3" borderId="4" xfId="0" applyFont="1" applyFill="1" applyBorder="1" applyAlignment="1">
      <alignment horizontal="right"/>
    </xf>
    <xf numFmtId="0" fontId="23" fillId="3" borderId="7" xfId="0" applyFont="1" applyFill="1" applyBorder="1" applyAlignment="1">
      <alignment horizontal="center" vertical="center"/>
    </xf>
    <xf numFmtId="0" fontId="15" fillId="0" borderId="14" xfId="0" applyFont="1" applyBorder="1" applyAlignment="1">
      <alignment horizontal="center"/>
    </xf>
    <xf numFmtId="0" fontId="15" fillId="0" borderId="14" xfId="0" applyFont="1" applyBorder="1" applyAlignment="1">
      <alignment wrapText="1"/>
    </xf>
    <xf numFmtId="0" fontId="4" fillId="0" borderId="0" xfId="0" applyFont="1" applyAlignment="1">
      <alignment vertical="center"/>
    </xf>
    <xf numFmtId="0" fontId="14" fillId="0" borderId="0" xfId="0" applyFont="1" applyAlignment="1">
      <alignment vertical="center"/>
    </xf>
    <xf numFmtId="0" fontId="4" fillId="0" borderId="2" xfId="0" applyFont="1" applyBorder="1"/>
    <xf numFmtId="0" fontId="23" fillId="0" borderId="3" xfId="0" applyFont="1" applyBorder="1" applyAlignment="1">
      <alignment vertical="center"/>
    </xf>
    <xf numFmtId="0" fontId="15" fillId="0" borderId="0" xfId="0" applyFont="1" applyAlignment="1">
      <alignment wrapText="1"/>
    </xf>
    <xf numFmtId="0" fontId="8" fillId="0" borderId="0" xfId="0" applyFont="1" applyAlignment="1">
      <alignment horizontal="left"/>
    </xf>
    <xf numFmtId="0" fontId="8" fillId="0" borderId="19" xfId="0" applyFont="1" applyBorder="1" applyAlignment="1">
      <alignment horizontal="center" vertical="center"/>
    </xf>
    <xf numFmtId="0" fontId="8" fillId="0" borderId="14" xfId="0" applyFont="1" applyBorder="1" applyAlignment="1">
      <alignment horizontal="left" vertical="center" wrapText="1"/>
    </xf>
    <xf numFmtId="0" fontId="8" fillId="0" borderId="14" xfId="0" applyFont="1" applyBorder="1" applyAlignment="1">
      <alignment horizontal="center" vertical="center"/>
    </xf>
    <xf numFmtId="0" fontId="8" fillId="0" borderId="14" xfId="0" quotePrefix="1" applyFont="1" applyBorder="1" applyAlignment="1">
      <alignment horizontal="left" vertical="center"/>
    </xf>
    <xf numFmtId="0" fontId="8" fillId="0" borderId="14" xfId="0" applyFont="1" applyBorder="1" applyAlignment="1">
      <alignment horizontal="left" vertical="center"/>
    </xf>
    <xf numFmtId="0" fontId="8" fillId="0" borderId="18" xfId="0" applyFont="1" applyBorder="1"/>
    <xf numFmtId="0" fontId="25" fillId="0" borderId="10" xfId="0" applyFont="1" applyBorder="1" applyAlignment="1">
      <alignment horizontal="left" vertical="center" wrapText="1"/>
    </xf>
    <xf numFmtId="0" fontId="4" fillId="0" borderId="3" xfId="0" applyFont="1" applyBorder="1" applyAlignment="1">
      <alignment horizontal="left" vertical="center" wrapText="1"/>
    </xf>
    <xf numFmtId="0" fontId="25" fillId="0" borderId="3" xfId="0" applyFont="1" applyBorder="1" applyAlignment="1">
      <alignment horizontal="left" vertical="center" wrapText="1"/>
    </xf>
    <xf numFmtId="0" fontId="25" fillId="0" borderId="3" xfId="0" quotePrefix="1" applyFont="1" applyBorder="1" applyAlignment="1">
      <alignment horizontal="left" vertical="center" wrapText="1"/>
    </xf>
    <xf numFmtId="14" fontId="4" fillId="0" borderId="3" xfId="0" applyNumberFormat="1" applyFont="1" applyBorder="1" applyAlignment="1">
      <alignment horizontal="center" vertical="center" wrapText="1"/>
    </xf>
    <xf numFmtId="14" fontId="25" fillId="0" borderId="9" xfId="0" applyNumberFormat="1" applyFont="1" applyBorder="1" applyAlignment="1">
      <alignment horizontal="center" vertical="center" wrapText="1"/>
    </xf>
    <xf numFmtId="0" fontId="25" fillId="0" borderId="10" xfId="0" applyFont="1" applyBorder="1" applyAlignment="1">
      <alignment horizontal="center" vertical="center" wrapText="1"/>
    </xf>
    <xf numFmtId="0" fontId="25" fillId="0" borderId="3" xfId="0" applyFont="1" applyBorder="1" applyAlignment="1">
      <alignment horizontal="center" vertical="center" wrapText="1"/>
    </xf>
    <xf numFmtId="14" fontId="25" fillId="0" borderId="3" xfId="0" applyNumberFormat="1" applyFont="1" applyBorder="1" applyAlignment="1">
      <alignment horizontal="center" vertical="center" wrapText="1"/>
    </xf>
    <xf numFmtId="0" fontId="18" fillId="0" borderId="3" xfId="0" applyFont="1" applyBorder="1" applyAlignment="1">
      <alignment horizontal="center" vertical="center"/>
    </xf>
    <xf numFmtId="0" fontId="18" fillId="0" borderId="10" xfId="0" applyFont="1" applyBorder="1" applyAlignment="1">
      <alignment horizontal="left" vertical="center" wrapText="1"/>
    </xf>
    <xf numFmtId="0" fontId="18" fillId="0" borderId="3" xfId="0" quotePrefix="1" applyFont="1" applyBorder="1" applyAlignment="1">
      <alignment vertical="center"/>
    </xf>
    <xf numFmtId="0" fontId="18" fillId="0" borderId="3" xfId="0" applyFont="1" applyBorder="1" applyAlignment="1">
      <alignment vertical="center"/>
    </xf>
    <xf numFmtId="0" fontId="26" fillId="0" borderId="0" xfId="0" applyFont="1"/>
    <xf numFmtId="0" fontId="18" fillId="0" borderId="3" xfId="0" applyFont="1" applyBorder="1" applyAlignment="1">
      <alignment horizontal="left" vertical="center" wrapText="1"/>
    </xf>
    <xf numFmtId="0" fontId="8" fillId="0" borderId="4" xfId="0" quotePrefix="1" applyFont="1" applyBorder="1" applyAlignment="1">
      <alignment vertical="center" wrapText="1"/>
    </xf>
    <xf numFmtId="14" fontId="18" fillId="0" borderId="3" xfId="0" applyNumberFormat="1" applyFont="1" applyBorder="1" applyAlignment="1">
      <alignment horizontal="center" vertical="center" wrapText="1"/>
    </xf>
    <xf numFmtId="0" fontId="27" fillId="0" borderId="20" xfId="0" applyFont="1" applyBorder="1" applyAlignment="1">
      <alignment vertical="center"/>
    </xf>
    <xf numFmtId="14" fontId="18" fillId="0" borderId="9" xfId="0" applyNumberFormat="1" applyFont="1" applyBorder="1" applyAlignment="1">
      <alignment horizontal="center" vertical="center" wrapText="1"/>
    </xf>
    <xf numFmtId="0" fontId="18" fillId="0" borderId="12" xfId="0" applyFont="1" applyBorder="1" applyAlignment="1">
      <alignment horizontal="center" vertical="center"/>
    </xf>
    <xf numFmtId="0" fontId="18" fillId="0" borderId="4" xfId="0" applyFont="1" applyBorder="1" applyAlignment="1">
      <alignment horizontal="center" vertical="center"/>
    </xf>
    <xf numFmtId="0" fontId="18" fillId="0" borderId="10" xfId="0" quotePrefix="1" applyFont="1" applyBorder="1" applyAlignment="1">
      <alignment vertical="center" wrapText="1"/>
    </xf>
    <xf numFmtId="0" fontId="28" fillId="0" borderId="0" xfId="0" applyFont="1"/>
    <xf numFmtId="0" fontId="27" fillId="0" borderId="3" xfId="0" applyFont="1" applyBorder="1" applyAlignment="1">
      <alignment horizontal="right" vertical="center"/>
    </xf>
    <xf numFmtId="0" fontId="28" fillId="0" borderId="0" xfId="0" applyFont="1" applyAlignment="1">
      <alignment vertical="center"/>
    </xf>
    <xf numFmtId="0" fontId="8" fillId="0" borderId="12" xfId="0" applyFont="1" applyBorder="1" applyAlignment="1">
      <alignment horizontal="center" vertical="center"/>
    </xf>
    <xf numFmtId="0" fontId="8" fillId="0" borderId="4" xfId="0" applyFont="1" applyBorder="1" applyAlignment="1">
      <alignment horizontal="center" vertical="center"/>
    </xf>
    <xf numFmtId="0" fontId="8" fillId="0" borderId="8" xfId="0" applyFont="1" applyBorder="1" applyAlignment="1">
      <alignment vertical="center" wrapText="1"/>
    </xf>
    <xf numFmtId="0" fontId="17" fillId="0" borderId="3" xfId="0" applyFont="1" applyBorder="1" applyAlignment="1">
      <alignment wrapText="1"/>
    </xf>
    <xf numFmtId="0" fontId="8" fillId="0" borderId="10" xfId="0" quotePrefix="1" applyFont="1" applyBorder="1" applyAlignment="1">
      <alignment horizontal="left" vertical="center" wrapText="1"/>
    </xf>
    <xf numFmtId="0" fontId="18" fillId="0" borderId="3" xfId="0" quotePrefix="1" applyFont="1" applyBorder="1" applyAlignment="1">
      <alignment horizontal="left" vertical="center" wrapText="1"/>
    </xf>
    <xf numFmtId="0" fontId="18" fillId="0" borderId="10" xfId="0" applyFont="1" applyBorder="1" applyAlignment="1">
      <alignment horizontal="center" vertical="center"/>
    </xf>
    <xf numFmtId="0" fontId="18" fillId="0" borderId="10" xfId="0" quotePrefix="1" applyFont="1" applyBorder="1" applyAlignment="1">
      <alignment horizontal="left" vertical="center" wrapText="1"/>
    </xf>
    <xf numFmtId="14" fontId="18" fillId="0" borderId="10" xfId="0" applyNumberFormat="1" applyFont="1" applyBorder="1" applyAlignment="1">
      <alignment horizontal="left" vertical="center" wrapText="1"/>
    </xf>
    <xf numFmtId="0" fontId="19" fillId="0" borderId="3" xfId="0" applyFont="1" applyBorder="1" applyAlignment="1">
      <alignment wrapText="1"/>
    </xf>
    <xf numFmtId="0" fontId="19" fillId="0" borderId="0" xfId="0" applyFont="1" applyAlignment="1">
      <alignment wrapText="1"/>
    </xf>
    <xf numFmtId="0" fontId="27" fillId="0" borderId="3" xfId="0" applyFont="1" applyBorder="1" applyAlignment="1">
      <alignment horizontal="right" vertical="center" wrapText="1"/>
    </xf>
    <xf numFmtId="0" fontId="27" fillId="0" borderId="3" xfId="0" applyFont="1" applyBorder="1"/>
    <xf numFmtId="0" fontId="27" fillId="0" borderId="3" xfId="2" quotePrefix="1" applyFont="1" applyBorder="1" applyAlignment="1">
      <alignment horizontal="justify" vertical="top" wrapText="1"/>
    </xf>
    <xf numFmtId="0" fontId="25" fillId="0" borderId="3" xfId="0" applyFont="1" applyBorder="1" applyAlignment="1">
      <alignment horizontal="center" vertical="center"/>
    </xf>
    <xf numFmtId="166" fontId="24" fillId="0" borderId="3" xfId="0" applyNumberFormat="1" applyFont="1" applyBorder="1" applyAlignment="1">
      <alignment horizontal="center" vertical="center" wrapText="1"/>
    </xf>
    <xf numFmtId="0" fontId="25" fillId="0" borderId="0" xfId="0" applyFont="1" applyAlignment="1">
      <alignment vertical="center"/>
    </xf>
    <xf numFmtId="0" fontId="32" fillId="0" borderId="0" xfId="0" applyFont="1" applyAlignment="1">
      <alignment vertical="center"/>
    </xf>
    <xf numFmtId="0" fontId="25" fillId="0" borderId="0" xfId="0" quotePrefix="1" applyFont="1" applyAlignment="1">
      <alignment vertical="center" wrapText="1"/>
    </xf>
    <xf numFmtId="0" fontId="18" fillId="0" borderId="3" xfId="0" applyFont="1" applyBorder="1"/>
    <xf numFmtId="166" fontId="8" fillId="0" borderId="3" xfId="0" applyNumberFormat="1" applyFont="1" applyBorder="1" applyAlignment="1">
      <alignment horizontal="center" vertical="center" wrapText="1"/>
    </xf>
    <xf numFmtId="166" fontId="8" fillId="0" borderId="10" xfId="0" applyNumberFormat="1" applyFont="1" applyBorder="1" applyAlignment="1">
      <alignment horizontal="center" vertical="center" wrapText="1"/>
    </xf>
    <xf numFmtId="0" fontId="18" fillId="0" borderId="3" xfId="0" applyFont="1" applyBorder="1" applyAlignment="1">
      <alignment horizontal="justify" vertical="center" wrapText="1"/>
    </xf>
    <xf numFmtId="166" fontId="21" fillId="0" borderId="3" xfId="0" applyNumberFormat="1" applyFont="1" applyBorder="1" applyAlignment="1">
      <alignment horizontal="center" vertical="center" wrapText="1"/>
    </xf>
    <xf numFmtId="14" fontId="21" fillId="0" borderId="3" xfId="0" applyNumberFormat="1" applyFont="1" applyBorder="1" applyAlignment="1">
      <alignment horizontal="center" vertical="center" wrapText="1"/>
    </xf>
    <xf numFmtId="0" fontId="18" fillId="0" borderId="3" xfId="0" quotePrefix="1" applyFont="1" applyBorder="1" applyAlignment="1">
      <alignment vertical="center" wrapText="1"/>
    </xf>
    <xf numFmtId="14" fontId="15" fillId="0" borderId="3" xfId="0" applyNumberFormat="1" applyFont="1" applyBorder="1" applyAlignment="1">
      <alignment horizontal="center" vertical="center" wrapText="1"/>
    </xf>
    <xf numFmtId="0" fontId="15" fillId="0" borderId="10" xfId="0" quotePrefix="1" applyFont="1" applyBorder="1" applyAlignment="1">
      <alignment vertical="center" wrapText="1"/>
    </xf>
    <xf numFmtId="0" fontId="8" fillId="0" borderId="8" xfId="0" quotePrefix="1" applyFont="1" applyBorder="1" applyAlignment="1">
      <alignment vertical="top" wrapText="1"/>
    </xf>
    <xf numFmtId="0" fontId="25" fillId="0" borderId="3" xfId="0" quotePrefix="1" applyFont="1" applyBorder="1" applyAlignment="1">
      <alignment horizontal="left" vertical="top" wrapText="1"/>
    </xf>
    <xf numFmtId="0" fontId="8" fillId="0" borderId="3" xfId="0" quotePrefix="1" applyFont="1" applyBorder="1" applyAlignment="1">
      <alignment vertical="top" wrapText="1"/>
    </xf>
    <xf numFmtId="0" fontId="4" fillId="0" borderId="3" xfId="0" quotePrefix="1" applyFont="1" applyBorder="1" applyAlignment="1">
      <alignment horizontal="justify" vertical="top" wrapText="1"/>
    </xf>
    <xf numFmtId="0" fontId="23" fillId="3" borderId="3" xfId="0" applyFont="1" applyFill="1" applyBorder="1" applyAlignment="1">
      <alignment horizontal="center" vertical="center"/>
    </xf>
    <xf numFmtId="0" fontId="8" fillId="0" borderId="3" xfId="0" applyFont="1" applyBorder="1" applyAlignment="1">
      <alignment horizontal="left"/>
    </xf>
    <xf numFmtId="0" fontId="8" fillId="3" borderId="4" xfId="0" applyFont="1" applyFill="1" applyBorder="1" applyAlignment="1">
      <alignment horizontal="center" vertical="center"/>
    </xf>
    <xf numFmtId="164" fontId="8" fillId="0" borderId="3" xfId="1" applyNumberFormat="1" applyFont="1" applyBorder="1" applyAlignment="1">
      <alignment horizontal="center" vertical="center"/>
    </xf>
    <xf numFmtId="0" fontId="8" fillId="0" borderId="18" xfId="0" applyFont="1" applyBorder="1" applyAlignment="1">
      <alignment horizontal="center" vertical="center"/>
    </xf>
    <xf numFmtId="0" fontId="15" fillId="0" borderId="2" xfId="0" applyFont="1" applyBorder="1" applyAlignment="1">
      <alignment horizontal="center" vertical="center"/>
    </xf>
    <xf numFmtId="0" fontId="8" fillId="3" borderId="3" xfId="0" applyFont="1" applyFill="1" applyBorder="1" applyAlignment="1">
      <alignment horizontal="center" vertical="center"/>
    </xf>
    <xf numFmtId="0" fontId="18" fillId="0" borderId="4" xfId="0" quotePrefix="1" applyFont="1" applyBorder="1" applyAlignment="1">
      <alignment vertical="center"/>
    </xf>
    <xf numFmtId="0" fontId="8" fillId="0" borderId="4" xfId="0" applyFont="1" applyBorder="1" applyAlignment="1">
      <alignment horizontal="left"/>
    </xf>
    <xf numFmtId="0" fontId="23" fillId="0" borderId="3" xfId="0" applyFont="1" applyBorder="1" applyAlignment="1">
      <alignment horizontal="center"/>
    </xf>
    <xf numFmtId="0" fontId="13" fillId="0" borderId="9" xfId="0" applyFont="1" applyBorder="1" applyAlignment="1">
      <alignment horizontal="center" vertical="center"/>
    </xf>
    <xf numFmtId="0" fontId="15" fillId="0" borderId="3" xfId="0" applyFont="1" applyBorder="1" applyAlignment="1">
      <alignment vertical="center"/>
    </xf>
    <xf numFmtId="0" fontId="33" fillId="4" borderId="9" xfId="0" applyFont="1" applyFill="1" applyBorder="1" applyAlignment="1">
      <alignment horizontal="center" vertical="center"/>
    </xf>
    <xf numFmtId="14" fontId="33" fillId="4" borderId="3" xfId="0" applyNumberFormat="1" applyFont="1" applyFill="1" applyBorder="1" applyAlignment="1">
      <alignment horizontal="center" vertical="center" wrapText="1"/>
    </xf>
    <xf numFmtId="0" fontId="33" fillId="4" borderId="10" xfId="0" applyFont="1" applyFill="1" applyBorder="1" applyAlignment="1">
      <alignment vertical="center"/>
    </xf>
    <xf numFmtId="0" fontId="15" fillId="4" borderId="10" xfId="0" applyFont="1" applyFill="1" applyBorder="1" applyAlignment="1">
      <alignment horizontal="center" vertical="center" wrapText="1"/>
    </xf>
    <xf numFmtId="0" fontId="33" fillId="4" borderId="10" xfId="0" applyFont="1" applyFill="1" applyBorder="1" applyAlignment="1">
      <alignment horizontal="center" vertical="center"/>
    </xf>
    <xf numFmtId="0" fontId="33" fillId="4" borderId="7" xfId="0" applyFont="1" applyFill="1" applyBorder="1" applyAlignment="1">
      <alignment horizontal="center" vertical="center"/>
    </xf>
    <xf numFmtId="14" fontId="33" fillId="4" borderId="10" xfId="0" applyNumberFormat="1" applyFont="1" applyFill="1" applyBorder="1" applyAlignment="1">
      <alignment horizontal="center" vertical="center" wrapText="1"/>
    </xf>
    <xf numFmtId="0" fontId="8" fillId="0" borderId="10" xfId="0" applyFont="1" applyBorder="1" applyAlignment="1">
      <alignment horizontal="justify" vertical="center" wrapText="1"/>
    </xf>
    <xf numFmtId="0" fontId="8" fillId="0" borderId="3" xfId="0" quotePrefix="1" applyFont="1" applyBorder="1" applyAlignment="1">
      <alignment horizontal="justify" vertical="top" wrapText="1"/>
    </xf>
    <xf numFmtId="164" fontId="15" fillId="0" borderId="3" xfId="1" applyNumberFormat="1" applyFont="1" applyBorder="1" applyAlignment="1">
      <alignment horizontal="center" vertical="center"/>
    </xf>
    <xf numFmtId="0" fontId="8" fillId="0" borderId="3" xfId="0" quotePrefix="1" applyFont="1" applyBorder="1" applyAlignment="1">
      <alignment horizontal="justify" vertical="center" wrapText="1"/>
    </xf>
    <xf numFmtId="0" fontId="17" fillId="0" borderId="3" xfId="0" applyFont="1" applyBorder="1" applyAlignment="1">
      <alignment horizontal="center" vertical="center"/>
    </xf>
    <xf numFmtId="0" fontId="8" fillId="0" borderId="0" xfId="0" applyFont="1"/>
    <xf numFmtId="0" fontId="13" fillId="0" borderId="0" xfId="0" applyFont="1"/>
    <xf numFmtId="0" fontId="8" fillId="0" borderId="0" xfId="0" applyFont="1" applyAlignment="1">
      <alignment horizontal="center" vertical="center"/>
    </xf>
    <xf numFmtId="0" fontId="15" fillId="0" borderId="3" xfId="0" applyFont="1" applyBorder="1" applyAlignment="1">
      <alignment horizontal="justify" vertical="center" wrapText="1"/>
    </xf>
    <xf numFmtId="164" fontId="8" fillId="0" borderId="3" xfId="1" applyNumberFormat="1" applyFont="1" applyBorder="1" applyAlignment="1">
      <alignment horizontal="center" vertical="center" wrapText="1"/>
    </xf>
    <xf numFmtId="0" fontId="37" fillId="0" borderId="0" xfId="0" applyFont="1" applyAlignment="1">
      <alignment vertical="center"/>
    </xf>
    <xf numFmtId="0" fontId="39" fillId="0" borderId="0" xfId="0" applyFont="1" applyAlignment="1">
      <alignment vertical="center"/>
    </xf>
    <xf numFmtId="0" fontId="37" fillId="0" borderId="0" xfId="0" applyFont="1"/>
    <xf numFmtId="0" fontId="8" fillId="0" borderId="0" xfId="2" quotePrefix="1" applyFont="1" applyAlignment="1">
      <alignment horizontal="justify" vertical="top" wrapText="1"/>
    </xf>
    <xf numFmtId="0" fontId="8" fillId="0" borderId="3" xfId="2" quotePrefix="1" applyFont="1" applyBorder="1" applyAlignment="1">
      <alignment horizontal="justify" vertical="top" wrapText="1"/>
    </xf>
    <xf numFmtId="0" fontId="8" fillId="0" borderId="0" xfId="0" applyFont="1" applyAlignment="1">
      <alignment vertical="center"/>
    </xf>
    <xf numFmtId="0" fontId="8" fillId="0" borderId="0" xfId="0" quotePrefix="1" applyFont="1" applyAlignment="1">
      <alignment vertical="center" wrapText="1"/>
    </xf>
    <xf numFmtId="0" fontId="8" fillId="0" borderId="2" xfId="0" applyFont="1" applyBorder="1" applyAlignment="1">
      <alignment horizontal="center" vertical="center"/>
    </xf>
    <xf numFmtId="0" fontId="15" fillId="3" borderId="16" xfId="0" applyFont="1" applyFill="1" applyBorder="1"/>
    <xf numFmtId="0" fontId="8" fillId="3" borderId="16" xfId="0" applyFont="1" applyFill="1" applyBorder="1"/>
    <xf numFmtId="0" fontId="8" fillId="3" borderId="17" xfId="0" applyFont="1" applyFill="1" applyBorder="1" applyAlignment="1">
      <alignment horizontal="center" vertical="center"/>
    </xf>
    <xf numFmtId="0" fontId="17" fillId="0" borderId="0" xfId="0" applyFont="1" applyAlignment="1">
      <alignment horizontal="center" vertical="center"/>
    </xf>
    <xf numFmtId="0" fontId="29" fillId="0" borderId="0" xfId="0" applyFont="1"/>
    <xf numFmtId="0" fontId="29" fillId="0" borderId="0" xfId="0" applyFont="1" applyAlignment="1">
      <alignment horizontal="center" vertical="center"/>
    </xf>
    <xf numFmtId="0" fontId="8" fillId="0" borderId="3" xfId="0" applyFont="1" applyBorder="1" applyAlignment="1">
      <alignment horizontal="center" vertical="top"/>
    </xf>
    <xf numFmtId="166" fontId="13" fillId="0" borderId="3" xfId="0" applyNumberFormat="1" applyFont="1" applyBorder="1" applyAlignment="1">
      <alignment horizontal="center" vertical="top" wrapText="1"/>
    </xf>
    <xf numFmtId="14" fontId="8" fillId="0" borderId="3" xfId="0" applyNumberFormat="1" applyFont="1" applyBorder="1" applyAlignment="1">
      <alignment horizontal="center" vertical="top" wrapText="1"/>
    </xf>
    <xf numFmtId="0" fontId="17" fillId="0" borderId="0" xfId="0" applyFont="1" applyAlignment="1">
      <alignment vertical="top"/>
    </xf>
    <xf numFmtId="14" fontId="8" fillId="0" borderId="9" xfId="0" applyNumberFormat="1" applyFont="1" applyBorder="1" applyAlignment="1">
      <alignment horizontal="center" vertical="top" wrapText="1"/>
    </xf>
    <xf numFmtId="0" fontId="8" fillId="0" borderId="10" xfId="0" quotePrefix="1" applyFont="1" applyBorder="1" applyAlignment="1">
      <alignment vertical="top" wrapText="1"/>
    </xf>
    <xf numFmtId="0" fontId="8" fillId="0" borderId="3" xfId="0" applyFont="1" applyBorder="1" applyAlignment="1">
      <alignment vertical="top"/>
    </xf>
    <xf numFmtId="0" fontId="15" fillId="0" borderId="9" xfId="0" applyFont="1" applyBorder="1" applyAlignment="1">
      <alignment horizontal="center" vertical="top"/>
    </xf>
    <xf numFmtId="0" fontId="40" fillId="0" borderId="0" xfId="0" applyFont="1" applyAlignment="1">
      <alignment horizontal="center"/>
    </xf>
    <xf numFmtId="0" fontId="40" fillId="0" borderId="0" xfId="0" applyFont="1" applyAlignment="1">
      <alignment horizontal="center" vertical="center"/>
    </xf>
    <xf numFmtId="0" fontId="15" fillId="4" borderId="9" xfId="0" applyFont="1" applyFill="1" applyBorder="1" applyAlignment="1">
      <alignment horizontal="center" vertical="center"/>
    </xf>
    <xf numFmtId="14" fontId="8" fillId="4" borderId="9" xfId="0" applyNumberFormat="1" applyFont="1" applyFill="1" applyBorder="1" applyAlignment="1">
      <alignment horizontal="center" vertical="center" wrapText="1"/>
    </xf>
    <xf numFmtId="0" fontId="13" fillId="4" borderId="3" xfId="0" applyFont="1" applyFill="1" applyBorder="1" applyAlignment="1">
      <alignment horizontal="center" vertical="center"/>
    </xf>
    <xf numFmtId="0" fontId="8" fillId="4" borderId="8" xfId="0" applyFont="1" applyFill="1" applyBorder="1" applyAlignment="1">
      <alignment vertical="center"/>
    </xf>
    <xf numFmtId="0" fontId="8" fillId="4" borderId="9" xfId="0" applyFont="1" applyFill="1" applyBorder="1" applyAlignment="1">
      <alignment horizontal="center" vertical="center"/>
    </xf>
    <xf numFmtId="0" fontId="8" fillId="4" borderId="10" xfId="0" applyFont="1" applyFill="1" applyBorder="1" applyAlignment="1">
      <alignment horizontal="center" vertical="center"/>
    </xf>
    <xf numFmtId="14" fontId="8" fillId="4" borderId="3" xfId="0" applyNumberFormat="1" applyFont="1" applyFill="1" applyBorder="1" applyAlignment="1">
      <alignment horizontal="center" vertical="center" wrapText="1"/>
    </xf>
    <xf numFmtId="166" fontId="13" fillId="4" borderId="3" xfId="0" applyNumberFormat="1" applyFont="1" applyFill="1" applyBorder="1" applyAlignment="1">
      <alignment horizontal="center" vertical="center" wrapText="1"/>
    </xf>
    <xf numFmtId="0" fontId="8" fillId="4" borderId="3" xfId="0" applyFont="1" applyFill="1" applyBorder="1" applyAlignment="1">
      <alignment vertical="center"/>
    </xf>
    <xf numFmtId="0" fontId="8" fillId="4" borderId="3" xfId="0" applyFont="1" applyFill="1" applyBorder="1" applyAlignment="1">
      <alignment horizontal="right" vertical="center"/>
    </xf>
    <xf numFmtId="0" fontId="18" fillId="0" borderId="3" xfId="0" quotePrefix="1" applyFont="1" applyBorder="1" applyAlignment="1">
      <alignment vertical="top" wrapText="1"/>
    </xf>
    <xf numFmtId="164" fontId="18" fillId="0" borderId="3" xfId="1" applyNumberFormat="1" applyFont="1" applyBorder="1" applyAlignment="1">
      <alignment horizontal="center" vertical="center"/>
    </xf>
    <xf numFmtId="0" fontId="15" fillId="4" borderId="9" xfId="0" applyFont="1" applyFill="1" applyBorder="1" applyAlignment="1">
      <alignment horizontal="center" vertical="top"/>
    </xf>
    <xf numFmtId="14" fontId="8" fillId="4" borderId="9" xfId="0" applyNumberFormat="1" applyFont="1" applyFill="1" applyBorder="1" applyAlignment="1">
      <alignment horizontal="center" vertical="top" wrapText="1"/>
    </xf>
    <xf numFmtId="0" fontId="8" fillId="4" borderId="3" xfId="0" quotePrefix="1" applyFont="1" applyFill="1" applyBorder="1" applyAlignment="1">
      <alignment horizontal="justify" vertical="top" wrapText="1"/>
    </xf>
    <xf numFmtId="0" fontId="8" fillId="4" borderId="3" xfId="0" quotePrefix="1" applyFont="1" applyFill="1" applyBorder="1" applyAlignment="1">
      <alignment vertical="top" wrapText="1"/>
    </xf>
    <xf numFmtId="0" fontId="15" fillId="4" borderId="3" xfId="0" applyFont="1" applyFill="1" applyBorder="1" applyAlignment="1">
      <alignment horizontal="center" vertical="center"/>
    </xf>
    <xf numFmtId="0" fontId="33" fillId="4" borderId="3" xfId="0" applyFont="1" applyFill="1" applyBorder="1" applyAlignment="1">
      <alignment horizontal="center" vertical="center"/>
    </xf>
    <xf numFmtId="0" fontId="33" fillId="4" borderId="3" xfId="0" applyFont="1" applyFill="1" applyBorder="1" applyAlignment="1">
      <alignment vertical="center"/>
    </xf>
    <xf numFmtId="0" fontId="33" fillId="4" borderId="3" xfId="0" quotePrefix="1" applyFont="1" applyFill="1" applyBorder="1" applyAlignment="1">
      <alignment vertical="top" wrapText="1"/>
    </xf>
    <xf numFmtId="0" fontId="15" fillId="0" borderId="3" xfId="0" applyFont="1" applyBorder="1" applyAlignment="1">
      <alignment horizontal="center" vertical="top"/>
    </xf>
    <xf numFmtId="0" fontId="15" fillId="0" borderId="3" xfId="0" applyFont="1" applyBorder="1" applyAlignment="1">
      <alignment vertical="top"/>
    </xf>
    <xf numFmtId="0" fontId="15" fillId="0" borderId="9" xfId="0" applyFont="1" applyBorder="1" applyAlignment="1">
      <alignment vertical="top"/>
    </xf>
    <xf numFmtId="0" fontId="40" fillId="0" borderId="0" xfId="0" applyFont="1" applyAlignment="1">
      <alignment vertical="center"/>
    </xf>
    <xf numFmtId="0" fontId="29" fillId="0" borderId="0" xfId="0" applyFont="1" applyAlignment="1">
      <alignment vertical="center"/>
    </xf>
    <xf numFmtId="0" fontId="29" fillId="0" borderId="0" xfId="0" applyFont="1" applyAlignment="1">
      <alignment vertical="top"/>
    </xf>
    <xf numFmtId="0" fontId="0" fillId="0" borderId="0" xfId="0" applyAlignment="1">
      <alignment vertical="top"/>
    </xf>
    <xf numFmtId="0" fontId="8" fillId="0" borderId="20" xfId="0" applyFont="1" applyBorder="1" applyAlignment="1">
      <alignment vertical="center"/>
    </xf>
    <xf numFmtId="164" fontId="8" fillId="0" borderId="9" xfId="1" applyNumberFormat="1" applyFont="1" applyBorder="1" applyAlignment="1">
      <alignment horizontal="center" vertical="center"/>
    </xf>
    <xf numFmtId="164" fontId="4" fillId="0" borderId="3" xfId="1" applyNumberFormat="1" applyFont="1" applyBorder="1" applyAlignment="1">
      <alignment horizontal="center" vertical="center"/>
    </xf>
    <xf numFmtId="0" fontId="18" fillId="0" borderId="3" xfId="0" quotePrefix="1" applyFont="1" applyBorder="1" applyAlignment="1">
      <alignment horizontal="center" vertical="center" wrapText="1"/>
    </xf>
    <xf numFmtId="164" fontId="4" fillId="0" borderId="9" xfId="1" applyNumberFormat="1" applyFont="1" applyBorder="1" applyAlignment="1">
      <alignment horizontal="center" vertical="center"/>
    </xf>
    <xf numFmtId="0" fontId="18" fillId="0" borderId="3" xfId="0" applyFont="1" applyBorder="1" applyAlignment="1">
      <alignment horizontal="center" vertical="center" wrapText="1"/>
    </xf>
    <xf numFmtId="0" fontId="18" fillId="0" borderId="10" xfId="0" applyFont="1" applyBorder="1" applyAlignment="1">
      <alignment vertical="center"/>
    </xf>
    <xf numFmtId="0" fontId="4" fillId="0" borderId="3" xfId="0" applyFont="1" applyBorder="1" applyAlignment="1">
      <alignment horizontal="center"/>
    </xf>
    <xf numFmtId="0" fontId="30" fillId="0" borderId="0" xfId="0" applyFont="1" applyAlignment="1">
      <alignment horizontal="center"/>
    </xf>
    <xf numFmtId="0" fontId="30" fillId="0" borderId="0" xfId="0" applyFont="1" applyAlignment="1">
      <alignment wrapText="1"/>
    </xf>
    <xf numFmtId="0" fontId="15" fillId="4" borderId="3" xfId="0" applyFont="1" applyFill="1" applyBorder="1" applyAlignment="1">
      <alignment horizontal="center"/>
    </xf>
    <xf numFmtId="0" fontId="15" fillId="4" borderId="3" xfId="0" applyFont="1" applyFill="1" applyBorder="1"/>
    <xf numFmtId="0" fontId="8" fillId="4" borderId="3" xfId="0" quotePrefix="1" applyFont="1" applyFill="1" applyBorder="1" applyAlignment="1">
      <alignment horizontal="center" vertical="center" wrapText="1"/>
    </xf>
    <xf numFmtId="14" fontId="13" fillId="4" borderId="3" xfId="0" applyNumberFormat="1" applyFont="1" applyFill="1" applyBorder="1" applyAlignment="1">
      <alignment horizontal="center" vertical="center" wrapText="1"/>
    </xf>
    <xf numFmtId="0" fontId="8" fillId="4" borderId="3" xfId="0" quotePrefix="1" applyFont="1" applyFill="1" applyBorder="1" applyAlignment="1">
      <alignment vertical="center" wrapText="1"/>
    </xf>
    <xf numFmtId="0" fontId="8" fillId="4" borderId="3" xfId="0" applyFont="1" applyFill="1" applyBorder="1" applyAlignment="1">
      <alignment horizontal="right"/>
    </xf>
    <xf numFmtId="0" fontId="15" fillId="4" borderId="3" xfId="0" applyFont="1" applyFill="1" applyBorder="1" applyAlignment="1">
      <alignment wrapText="1"/>
    </xf>
    <xf numFmtId="0" fontId="8" fillId="4" borderId="3" xfId="0" applyFont="1" applyFill="1" applyBorder="1" applyAlignment="1">
      <alignment horizontal="center" vertical="center"/>
    </xf>
    <xf numFmtId="0" fontId="23" fillId="4" borderId="3" xfId="0" applyFont="1" applyFill="1" applyBorder="1"/>
    <xf numFmtId="14" fontId="13" fillId="4" borderId="3" xfId="0" applyNumberFormat="1" applyFont="1" applyFill="1" applyBorder="1" applyAlignment="1">
      <alignment horizontal="left" vertical="center" wrapText="1"/>
    </xf>
    <xf numFmtId="0" fontId="8" fillId="4" borderId="3" xfId="0" applyFont="1" applyFill="1" applyBorder="1" applyAlignment="1">
      <alignment vertical="center" wrapText="1"/>
    </xf>
    <xf numFmtId="0" fontId="0" fillId="4" borderId="3" xfId="0" applyFill="1" applyBorder="1" applyAlignment="1">
      <alignment vertical="center"/>
    </xf>
    <xf numFmtId="0" fontId="8" fillId="4" borderId="3" xfId="0" applyFont="1" applyFill="1" applyBorder="1"/>
    <xf numFmtId="0" fontId="13" fillId="4" borderId="3" xfId="0" applyFont="1" applyFill="1" applyBorder="1"/>
    <xf numFmtId="0" fontId="8" fillId="4" borderId="8" xfId="0" applyFont="1" applyFill="1" applyBorder="1"/>
    <xf numFmtId="0" fontId="8" fillId="4" borderId="9" xfId="0" applyFont="1" applyFill="1" applyBorder="1"/>
    <xf numFmtId="0" fontId="30" fillId="4" borderId="3" xfId="0" applyFont="1" applyFill="1" applyBorder="1" applyAlignment="1">
      <alignment horizontal="center"/>
    </xf>
    <xf numFmtId="0" fontId="30" fillId="4" borderId="3" xfId="0" applyFont="1" applyFill="1" applyBorder="1" applyAlignment="1">
      <alignment wrapText="1"/>
    </xf>
    <xf numFmtId="0" fontId="25" fillId="4" borderId="3" xfId="0" applyFont="1" applyFill="1" applyBorder="1" applyAlignment="1">
      <alignment vertical="center"/>
    </xf>
    <xf numFmtId="0" fontId="4" fillId="4" borderId="3" xfId="0" applyFont="1" applyFill="1" applyBorder="1"/>
    <xf numFmtId="0" fontId="30" fillId="4" borderId="3" xfId="0" applyFont="1" applyFill="1" applyBorder="1"/>
    <xf numFmtId="0" fontId="25" fillId="4" borderId="3" xfId="0" applyFont="1" applyFill="1" applyBorder="1" applyAlignment="1">
      <alignment horizontal="center" vertical="center"/>
    </xf>
    <xf numFmtId="0" fontId="24" fillId="4" borderId="3" xfId="0" applyFont="1" applyFill="1" applyBorder="1"/>
    <xf numFmtId="14" fontId="29" fillId="4" borderId="3" xfId="0" applyNumberFormat="1" applyFont="1" applyFill="1" applyBorder="1" applyAlignment="1">
      <alignment horizontal="center" vertical="center" wrapText="1"/>
    </xf>
    <xf numFmtId="0" fontId="13" fillId="4" borderId="3" xfId="0" applyFont="1" applyFill="1" applyBorder="1" applyAlignment="1">
      <alignment vertical="center"/>
    </xf>
    <xf numFmtId="0" fontId="15" fillId="0" borderId="3" xfId="0" quotePrefix="1" applyFont="1" applyBorder="1" applyAlignment="1">
      <alignment horizontal="justify" vertical="center" wrapText="1"/>
    </xf>
    <xf numFmtId="0" fontId="8" fillId="0" borderId="3" xfId="0" quotePrefix="1" applyFont="1" applyBorder="1" applyAlignment="1">
      <alignment horizontal="justify" vertical="justify" wrapText="1"/>
    </xf>
    <xf numFmtId="0" fontId="18" fillId="0" borderId="3" xfId="0" quotePrefix="1" applyFont="1" applyBorder="1" applyAlignment="1">
      <alignment horizontal="justify" vertical="top" wrapText="1"/>
    </xf>
    <xf numFmtId="164" fontId="18" fillId="0" borderId="3" xfId="1" applyNumberFormat="1" applyFont="1" applyBorder="1" applyAlignment="1">
      <alignment horizontal="center" vertical="center" wrapText="1"/>
    </xf>
    <xf numFmtId="0" fontId="18" fillId="0" borderId="4" xfId="0" quotePrefix="1" applyFont="1" applyBorder="1" applyAlignment="1">
      <alignment vertical="top" wrapText="1"/>
    </xf>
    <xf numFmtId="164" fontId="15" fillId="0" borderId="3" xfId="1" applyNumberFormat="1" applyFont="1" applyBorder="1" applyAlignment="1">
      <alignment horizontal="center" vertical="center" wrapText="1"/>
    </xf>
    <xf numFmtId="0" fontId="20" fillId="0" borderId="3" xfId="0" applyFont="1" applyBorder="1" applyAlignment="1">
      <alignment horizontal="center" vertical="center"/>
    </xf>
    <xf numFmtId="3" fontId="18" fillId="0" borderId="3" xfId="0" applyNumberFormat="1" applyFont="1" applyBorder="1" applyAlignment="1">
      <alignment horizontal="center" vertical="center"/>
    </xf>
    <xf numFmtId="0" fontId="8" fillId="0" borderId="3" xfId="0" applyFont="1" applyBorder="1" applyAlignment="1">
      <alignment horizontal="right" vertical="center" wrapText="1"/>
    </xf>
    <xf numFmtId="0" fontId="25" fillId="0" borderId="3" xfId="0" applyFont="1" applyBorder="1" applyAlignment="1">
      <alignment horizontal="justify" vertical="center" wrapText="1"/>
    </xf>
    <xf numFmtId="0" fontId="25" fillId="0" borderId="3" xfId="0" applyFont="1" applyBorder="1" applyAlignment="1">
      <alignment horizontal="right" vertical="center"/>
    </xf>
    <xf numFmtId="0" fontId="13" fillId="0" borderId="0" xfId="0" applyFont="1" applyAlignment="1">
      <alignment horizontal="center"/>
    </xf>
    <xf numFmtId="0" fontId="13" fillId="0" borderId="3" xfId="0" applyFont="1" applyBorder="1" applyAlignment="1">
      <alignment horizontal="center"/>
    </xf>
    <xf numFmtId="0" fontId="23" fillId="0" borderId="3" xfId="0" applyFont="1" applyBorder="1" applyAlignment="1">
      <alignment horizontal="center" vertical="center"/>
    </xf>
    <xf numFmtId="0" fontId="13" fillId="3" borderId="3" xfId="0" applyFont="1" applyFill="1" applyBorder="1" applyAlignment="1">
      <alignment horizontal="center"/>
    </xf>
    <xf numFmtId="166" fontId="38" fillId="4" borderId="10" xfId="0" applyNumberFormat="1" applyFont="1" applyFill="1" applyBorder="1" applyAlignment="1">
      <alignment horizontal="center" vertical="center" wrapText="1"/>
    </xf>
    <xf numFmtId="166" fontId="38" fillId="4" borderId="3" xfId="0" applyNumberFormat="1" applyFont="1" applyFill="1" applyBorder="1" applyAlignment="1">
      <alignment horizontal="center" vertical="center" wrapText="1"/>
    </xf>
    <xf numFmtId="0" fontId="13" fillId="0" borderId="7" xfId="0" applyFont="1" applyBorder="1" applyAlignment="1">
      <alignment horizontal="center"/>
    </xf>
    <xf numFmtId="166" fontId="18" fillId="0" borderId="3" xfId="0" applyNumberFormat="1" applyFont="1" applyBorder="1" applyAlignment="1">
      <alignment horizontal="center" vertical="center" wrapText="1"/>
    </xf>
    <xf numFmtId="0" fontId="13" fillId="3" borderId="0" xfId="0" applyFont="1" applyFill="1" applyAlignment="1">
      <alignment horizontal="center"/>
    </xf>
    <xf numFmtId="0" fontId="23" fillId="0" borderId="0" xfId="0" applyFont="1" applyAlignment="1">
      <alignment horizontal="center" vertical="center"/>
    </xf>
    <xf numFmtId="0" fontId="13" fillId="3" borderId="16" xfId="0" applyFont="1" applyFill="1" applyBorder="1" applyAlignment="1">
      <alignment horizontal="center" vertical="center"/>
    </xf>
    <xf numFmtId="0" fontId="13" fillId="0" borderId="9" xfId="0" applyFont="1" applyBorder="1" applyAlignment="1">
      <alignment horizontal="center"/>
    </xf>
    <xf numFmtId="0" fontId="13" fillId="0" borderId="0" xfId="0" applyFont="1" applyAlignment="1">
      <alignment horizontal="center" vertical="center"/>
    </xf>
    <xf numFmtId="0" fontId="17" fillId="0" borderId="0" xfId="0" applyFont="1" applyAlignment="1">
      <alignment horizontal="center"/>
    </xf>
    <xf numFmtId="0" fontId="20" fillId="0" borderId="3" xfId="0" quotePrefix="1" applyFont="1" applyBorder="1" applyAlignment="1">
      <alignment vertical="center" wrapText="1"/>
    </xf>
    <xf numFmtId="0" fontId="25" fillId="0" borderId="9" xfId="0" applyFont="1" applyBorder="1" applyAlignment="1">
      <alignment horizontal="center" vertical="center"/>
    </xf>
    <xf numFmtId="166" fontId="25" fillId="0" borderId="3" xfId="0" applyNumberFormat="1" applyFont="1" applyBorder="1" applyAlignment="1">
      <alignment horizontal="center" vertical="center" wrapText="1"/>
    </xf>
    <xf numFmtId="0" fontId="25" fillId="0" borderId="3" xfId="0" quotePrefix="1" applyFont="1" applyBorder="1" applyAlignment="1">
      <alignment vertical="center" wrapText="1"/>
    </xf>
    <xf numFmtId="0" fontId="25" fillId="0" borderId="3" xfId="0" applyFont="1" applyBorder="1"/>
    <xf numFmtId="166" fontId="8" fillId="4" borderId="3" xfId="0" applyNumberFormat="1" applyFont="1" applyFill="1" applyBorder="1" applyAlignment="1">
      <alignment horizontal="center" vertical="center" wrapText="1"/>
    </xf>
    <xf numFmtId="0" fontId="8" fillId="0" borderId="9" xfId="0" applyFont="1" applyBorder="1" applyAlignment="1">
      <alignment horizontal="center" vertical="top"/>
    </xf>
    <xf numFmtId="166" fontId="8" fillId="0" borderId="3" xfId="0" applyNumberFormat="1" applyFont="1" applyBorder="1" applyAlignment="1">
      <alignment horizontal="center" vertical="top" wrapText="1"/>
    </xf>
    <xf numFmtId="0" fontId="8" fillId="0" borderId="3" xfId="0" applyFont="1" applyBorder="1" applyAlignment="1">
      <alignment horizontal="justify" vertical="top" wrapText="1"/>
    </xf>
    <xf numFmtId="0" fontId="20" fillId="0" borderId="3" xfId="0" quotePrefix="1" applyFont="1" applyBorder="1" applyAlignment="1">
      <alignment horizontal="justify" vertical="top" wrapText="1"/>
    </xf>
    <xf numFmtId="166" fontId="25" fillId="0" borderId="3" xfId="0" applyNumberFormat="1" applyFont="1" applyBorder="1" applyAlignment="1">
      <alignment horizontal="center" vertical="center"/>
    </xf>
    <xf numFmtId="166" fontId="25" fillId="0" borderId="12" xfId="0" applyNumberFormat="1" applyFont="1" applyBorder="1" applyAlignment="1">
      <alignment horizontal="center" vertical="center"/>
    </xf>
    <xf numFmtId="0" fontId="25" fillId="0" borderId="3" xfId="2" quotePrefix="1" applyFont="1" applyBorder="1" applyAlignment="1">
      <alignment horizontal="justify" vertical="top" wrapText="1"/>
    </xf>
    <xf numFmtId="166" fontId="25" fillId="0" borderId="9" xfId="0" applyNumberFormat="1" applyFont="1" applyBorder="1" applyAlignment="1">
      <alignment horizontal="center" vertical="center" wrapText="1"/>
    </xf>
    <xf numFmtId="0" fontId="25" fillId="0" borderId="12" xfId="0" quotePrefix="1" applyFont="1" applyBorder="1" applyAlignment="1">
      <alignment horizontal="justify" vertical="center" wrapText="1"/>
    </xf>
    <xf numFmtId="0" fontId="8" fillId="0" borderId="0" xfId="0" applyFont="1" applyAlignment="1">
      <alignment horizontal="justify"/>
    </xf>
    <xf numFmtId="0" fontId="15" fillId="0" borderId="0" xfId="0" applyFont="1" applyAlignment="1">
      <alignment horizontal="justify"/>
    </xf>
    <xf numFmtId="0" fontId="15" fillId="0" borderId="3" xfId="0" applyFont="1" applyBorder="1" applyAlignment="1">
      <alignment horizontal="justify" vertical="center"/>
    </xf>
    <xf numFmtId="0" fontId="15" fillId="0" borderId="10" xfId="0" applyFont="1" applyBorder="1" applyAlignment="1">
      <alignment horizontal="justify" wrapText="1"/>
    </xf>
    <xf numFmtId="0" fontId="8" fillId="0" borderId="10" xfId="0" quotePrefix="1" applyFont="1" applyBorder="1" applyAlignment="1">
      <alignment horizontal="justify" vertical="center" wrapText="1"/>
    </xf>
    <xf numFmtId="0" fontId="15" fillId="0" borderId="10" xfId="0" applyFont="1" applyBorder="1" applyAlignment="1">
      <alignment horizontal="justify" vertical="center" wrapText="1"/>
    </xf>
    <xf numFmtId="0" fontId="15" fillId="0" borderId="9" xfId="0" applyFont="1" applyBorder="1" applyAlignment="1">
      <alignment horizontal="justify" vertical="center"/>
    </xf>
    <xf numFmtId="0" fontId="8" fillId="3" borderId="3" xfId="0" applyFont="1" applyFill="1" applyBorder="1" applyAlignment="1">
      <alignment horizontal="justify"/>
    </xf>
    <xf numFmtId="0" fontId="15" fillId="0" borderId="3" xfId="0" applyFont="1" applyBorder="1" applyAlignment="1">
      <alignment horizontal="justify"/>
    </xf>
    <xf numFmtId="0" fontId="8" fillId="0" borderId="14" xfId="0" applyFont="1" applyBorder="1" applyAlignment="1">
      <alignment horizontal="justify" vertical="center" wrapText="1"/>
    </xf>
    <xf numFmtId="0" fontId="33" fillId="4" borderId="10" xfId="0" applyFont="1" applyFill="1" applyBorder="1" applyAlignment="1">
      <alignment horizontal="justify" vertical="center" wrapText="1"/>
    </xf>
    <xf numFmtId="0" fontId="33" fillId="4" borderId="3" xfId="0" applyFont="1" applyFill="1" applyBorder="1" applyAlignment="1">
      <alignment horizontal="justify" vertical="center" wrapText="1"/>
    </xf>
    <xf numFmtId="0" fontId="8" fillId="0" borderId="10" xfId="0" applyFont="1" applyBorder="1" applyAlignment="1">
      <alignment horizontal="justify" vertical="top" wrapText="1"/>
    </xf>
    <xf numFmtId="0" fontId="15" fillId="0" borderId="7" xfId="0" applyFont="1" applyBorder="1" applyAlignment="1">
      <alignment horizontal="justify"/>
    </xf>
    <xf numFmtId="0" fontId="8" fillId="0" borderId="3" xfId="0" applyFont="1" applyBorder="1" applyAlignment="1">
      <alignment horizontal="justify" wrapText="1"/>
    </xf>
    <xf numFmtId="14" fontId="25" fillId="0" borderId="3" xfId="0" applyNumberFormat="1" applyFont="1" applyBorder="1" applyAlignment="1">
      <alignment horizontal="justify" vertical="center" wrapText="1"/>
    </xf>
    <xf numFmtId="0" fontId="15" fillId="0" borderId="3" xfId="0" applyFont="1" applyBorder="1" applyAlignment="1">
      <alignment horizontal="justify" vertical="top" wrapText="1"/>
    </xf>
    <xf numFmtId="0" fontId="25" fillId="0" borderId="3" xfId="0" quotePrefix="1" applyFont="1" applyBorder="1" applyAlignment="1">
      <alignment horizontal="justify" vertical="center" wrapText="1"/>
    </xf>
    <xf numFmtId="0" fontId="15" fillId="4" borderId="3" xfId="0" quotePrefix="1" applyFont="1" applyFill="1" applyBorder="1" applyAlignment="1">
      <alignment horizontal="justify" vertical="top" wrapText="1"/>
    </xf>
    <xf numFmtId="0" fontId="33" fillId="4" borderId="3" xfId="0" quotePrefix="1" applyFont="1" applyFill="1" applyBorder="1" applyAlignment="1">
      <alignment horizontal="justify" vertical="center" wrapText="1"/>
    </xf>
    <xf numFmtId="0" fontId="8" fillId="3" borderId="0" xfId="0" applyFont="1" applyFill="1" applyAlignment="1">
      <alignment horizontal="justify"/>
    </xf>
    <xf numFmtId="0" fontId="15" fillId="0" borderId="14" xfId="0" applyFont="1" applyBorder="1" applyAlignment="1">
      <alignment horizontal="justify" wrapText="1"/>
    </xf>
    <xf numFmtId="0" fontId="8" fillId="3" borderId="16" xfId="0" applyFont="1" applyFill="1" applyBorder="1" applyAlignment="1">
      <alignment horizontal="justify"/>
    </xf>
    <xf numFmtId="0" fontId="15" fillId="4" borderId="3" xfId="0" applyFont="1" applyFill="1" applyBorder="1" applyAlignment="1">
      <alignment horizontal="justify" vertical="center" wrapText="1"/>
    </xf>
    <xf numFmtId="0" fontId="8" fillId="4" borderId="10" xfId="0" applyFont="1" applyFill="1" applyBorder="1" applyAlignment="1">
      <alignment horizontal="justify" vertical="center" wrapText="1"/>
    </xf>
    <xf numFmtId="0" fontId="15" fillId="0" borderId="10" xfId="0" applyFont="1" applyBorder="1" applyAlignment="1">
      <alignment horizontal="justify"/>
    </xf>
    <xf numFmtId="0" fontId="29" fillId="0" borderId="0" xfId="0" applyFont="1" applyAlignment="1">
      <alignment horizontal="justify" vertical="center"/>
    </xf>
    <xf numFmtId="0" fontId="40" fillId="0" borderId="0" xfId="0" applyFont="1" applyAlignment="1">
      <alignment horizontal="justify" vertical="center"/>
    </xf>
    <xf numFmtId="0" fontId="29" fillId="0" borderId="0" xfId="0" applyFont="1" applyAlignment="1">
      <alignment horizontal="justify"/>
    </xf>
    <xf numFmtId="0" fontId="17" fillId="0" borderId="0" xfId="0" applyFont="1" applyAlignment="1">
      <alignment horizontal="justify"/>
    </xf>
    <xf numFmtId="0" fontId="8" fillId="0" borderId="3" xfId="0" applyFont="1" applyBorder="1" applyAlignment="1">
      <alignment horizontal="justify"/>
    </xf>
    <xf numFmtId="0" fontId="8" fillId="0" borderId="12" xfId="0" quotePrefix="1" applyFont="1" applyBorder="1" applyAlignment="1">
      <alignment horizontal="justify" vertical="center" wrapText="1"/>
    </xf>
    <xf numFmtId="0" fontId="8" fillId="0" borderId="14" xfId="0" quotePrefix="1" applyFont="1" applyBorder="1" applyAlignment="1">
      <alignment horizontal="justify" vertical="center"/>
    </xf>
    <xf numFmtId="0" fontId="8" fillId="0" borderId="10" xfId="0" quotePrefix="1" applyFont="1" applyBorder="1" applyAlignment="1">
      <alignment horizontal="justify" vertical="top" wrapText="1"/>
    </xf>
    <xf numFmtId="0" fontId="8" fillId="0" borderId="3" xfId="0" quotePrefix="1" applyFont="1" applyBorder="1" applyAlignment="1">
      <alignment horizontal="justify" vertical="center"/>
    </xf>
    <xf numFmtId="0" fontId="8" fillId="0" borderId="4" xfId="0" quotePrefix="1" applyFont="1" applyBorder="1" applyAlignment="1">
      <alignment horizontal="justify" vertical="center" wrapText="1"/>
    </xf>
    <xf numFmtId="0" fontId="8" fillId="4" borderId="3" xfId="0" quotePrefix="1" applyFont="1" applyFill="1" applyBorder="1" applyAlignment="1">
      <alignment horizontal="justify" vertical="center" wrapText="1"/>
    </xf>
    <xf numFmtId="0" fontId="18" fillId="0" borderId="3" xfId="0" quotePrefix="1" applyFont="1" applyBorder="1" applyAlignment="1">
      <alignment horizontal="justify" vertical="center" wrapText="1"/>
    </xf>
    <xf numFmtId="0" fontId="8" fillId="0" borderId="0" xfId="0" quotePrefix="1" applyFont="1" applyAlignment="1">
      <alignment horizontal="justify" vertical="center" wrapText="1"/>
    </xf>
    <xf numFmtId="0" fontId="8" fillId="4" borderId="10" xfId="0" quotePrefix="1" applyFont="1" applyFill="1" applyBorder="1" applyAlignment="1">
      <alignment horizontal="justify" vertical="center" wrapText="1"/>
    </xf>
    <xf numFmtId="0" fontId="8" fillId="0" borderId="12" xfId="0" quotePrefix="1" applyFont="1" applyBorder="1" applyAlignment="1">
      <alignment horizontal="justify"/>
    </xf>
    <xf numFmtId="0" fontId="40" fillId="0" borderId="0" xfId="0" applyFont="1" applyAlignment="1">
      <alignment horizontal="justify"/>
    </xf>
    <xf numFmtId="0" fontId="8" fillId="0" borderId="12" xfId="0" quotePrefix="1" applyFont="1" applyBorder="1" applyAlignment="1">
      <alignment horizontal="justify" vertical="top" wrapText="1"/>
    </xf>
    <xf numFmtId="0" fontId="15" fillId="4" borderId="3" xfId="0" applyFont="1" applyFill="1" applyBorder="1" applyAlignment="1">
      <alignment horizontal="center" vertical="top"/>
    </xf>
    <xf numFmtId="0" fontId="20" fillId="0" borderId="3" xfId="0" quotePrefix="1" applyFont="1" applyBorder="1" applyAlignment="1">
      <alignment horizontal="justify" vertical="center" wrapText="1"/>
    </xf>
    <xf numFmtId="164" fontId="18" fillId="0" borderId="3" xfId="1" applyNumberFormat="1" applyFont="1" applyBorder="1" applyAlignment="1">
      <alignment horizontal="center" vertical="top"/>
    </xf>
    <xf numFmtId="0" fontId="17" fillId="0" borderId="0" xfId="0" applyFont="1" applyAlignment="1">
      <alignment vertical="top" wrapText="1"/>
    </xf>
    <xf numFmtId="0" fontId="8" fillId="0" borderId="0" xfId="0" applyFont="1" applyAlignment="1">
      <alignment horizontal="justify" vertical="center"/>
    </xf>
    <xf numFmtId="0" fontId="15" fillId="0" borderId="0" xfId="0" applyFont="1" applyAlignment="1">
      <alignment horizontal="justify" vertical="center"/>
    </xf>
    <xf numFmtId="0" fontId="8" fillId="3" borderId="0" xfId="0" applyFont="1" applyFill="1" applyAlignment="1">
      <alignment horizontal="justify" vertical="center"/>
    </xf>
    <xf numFmtId="0" fontId="15" fillId="0" borderId="14" xfId="0" applyFont="1" applyBorder="1" applyAlignment="1">
      <alignment horizontal="justify" vertical="center" wrapText="1"/>
    </xf>
    <xf numFmtId="0" fontId="17" fillId="0" borderId="0" xfId="0" applyFont="1" applyAlignment="1">
      <alignment horizontal="justify" vertical="center"/>
    </xf>
    <xf numFmtId="0" fontId="27" fillId="0" borderId="3" xfId="0" quotePrefix="1" applyFont="1" applyBorder="1" applyAlignment="1">
      <alignment horizontal="left" vertical="center" wrapText="1"/>
    </xf>
    <xf numFmtId="14" fontId="27" fillId="0" borderId="9" xfId="0" applyNumberFormat="1" applyFont="1" applyBorder="1" applyAlignment="1">
      <alignment horizontal="center" vertical="center" wrapText="1"/>
    </xf>
    <xf numFmtId="14" fontId="27" fillId="0" borderId="12" xfId="0" applyNumberFormat="1" applyFont="1" applyBorder="1" applyAlignment="1">
      <alignment horizontal="center" vertical="center"/>
    </xf>
    <xf numFmtId="0" fontId="27" fillId="0" borderId="3" xfId="0" applyFont="1" applyBorder="1" applyAlignment="1">
      <alignment horizontal="left" vertical="center" wrapText="1"/>
    </xf>
    <xf numFmtId="14" fontId="27" fillId="0" borderId="3" xfId="0" applyNumberFormat="1" applyFont="1" applyBorder="1" applyAlignment="1">
      <alignment horizontal="left" vertical="center" wrapText="1"/>
    </xf>
    <xf numFmtId="0" fontId="8" fillId="0" borderId="3" xfId="0" applyFont="1" applyBorder="1" applyAlignment="1">
      <alignment horizontal="justify" vertical="center"/>
    </xf>
    <xf numFmtId="0" fontId="25" fillId="0" borderId="3" xfId="0" applyFont="1" applyBorder="1" applyAlignment="1">
      <alignment vertical="center"/>
    </xf>
    <xf numFmtId="0" fontId="7" fillId="0" borderId="0" xfId="0" applyFont="1" applyAlignment="1">
      <alignment vertical="center"/>
    </xf>
    <xf numFmtId="0" fontId="15" fillId="4" borderId="3" xfId="0" quotePrefix="1" applyFont="1" applyFill="1" applyBorder="1" applyAlignment="1">
      <alignment horizontal="justify" vertical="center" wrapText="1"/>
    </xf>
    <xf numFmtId="0" fontId="25" fillId="0" borderId="3" xfId="2" quotePrefix="1" applyFont="1" applyBorder="1" applyAlignment="1">
      <alignment horizontal="justify" vertical="center" wrapText="1"/>
    </xf>
    <xf numFmtId="0" fontId="33" fillId="4" borderId="3" xfId="0" quotePrefix="1" applyFont="1" applyFill="1" applyBorder="1" applyAlignment="1">
      <alignment vertical="center" wrapText="1"/>
    </xf>
    <xf numFmtId="0" fontId="8" fillId="0" borderId="0" xfId="2" quotePrefix="1" applyFont="1" applyAlignment="1">
      <alignment horizontal="justify" vertical="center" wrapText="1"/>
    </xf>
    <xf numFmtId="0" fontId="17" fillId="0" borderId="0" xfId="0" applyFont="1" applyAlignment="1">
      <alignment vertical="center" wrapText="1"/>
    </xf>
    <xf numFmtId="0" fontId="8" fillId="0" borderId="3" xfId="2" quotePrefix="1" applyFont="1" applyBorder="1" applyAlignment="1">
      <alignment horizontal="justify" vertical="center" wrapText="1"/>
    </xf>
    <xf numFmtId="0" fontId="15" fillId="3" borderId="0" xfId="0" applyFont="1" applyFill="1" applyAlignment="1">
      <alignment vertical="center"/>
    </xf>
    <xf numFmtId="0" fontId="8" fillId="3" borderId="0" xfId="0" applyFont="1" applyFill="1" applyAlignment="1">
      <alignment vertical="center"/>
    </xf>
    <xf numFmtId="0" fontId="13" fillId="3" borderId="0" xfId="0" applyFont="1" applyFill="1" applyAlignment="1">
      <alignment horizontal="center" vertical="center"/>
    </xf>
    <xf numFmtId="0" fontId="15" fillId="0" borderId="14" xfId="0" applyFont="1" applyBorder="1" applyAlignment="1">
      <alignment horizontal="center" vertical="center"/>
    </xf>
    <xf numFmtId="14" fontId="27" fillId="0" borderId="8" xfId="0" applyNumberFormat="1" applyFont="1" applyBorder="1" applyAlignment="1">
      <alignment horizontal="center" vertical="center" wrapText="1"/>
    </xf>
    <xf numFmtId="14" fontId="27" fillId="0" borderId="3" xfId="0" applyNumberFormat="1" applyFont="1" applyBorder="1" applyAlignment="1">
      <alignment horizontal="center" vertical="center" wrapText="1"/>
    </xf>
    <xf numFmtId="0" fontId="8" fillId="0" borderId="3" xfId="0" quotePrefix="1" applyFont="1" applyBorder="1" applyAlignment="1">
      <alignment horizontal="left" vertical="center" wrapText="1"/>
    </xf>
    <xf numFmtId="0" fontId="8" fillId="0" borderId="3" xfId="0" applyFont="1" applyBorder="1" applyAlignment="1">
      <alignment horizontal="left" vertical="center"/>
    </xf>
    <xf numFmtId="0" fontId="8" fillId="0" borderId="12" xfId="0" quotePrefix="1" applyFont="1" applyBorder="1" applyAlignment="1">
      <alignment horizontal="left" vertical="center" wrapText="1"/>
    </xf>
    <xf numFmtId="0" fontId="8" fillId="0" borderId="4" xfId="0" quotePrefix="1" applyFont="1" applyBorder="1" applyAlignment="1">
      <alignment horizontal="left" vertical="center" wrapText="1"/>
    </xf>
    <xf numFmtId="0" fontId="8" fillId="0" borderId="3" xfId="0" applyFont="1" applyBorder="1" applyAlignment="1">
      <alignment horizontal="left"/>
    </xf>
    <xf numFmtId="0" fontId="8" fillId="0" borderId="4" xfId="0" applyFont="1" applyBorder="1" applyAlignment="1">
      <alignment horizontal="left" vertical="center" wrapText="1"/>
    </xf>
    <xf numFmtId="0" fontId="8" fillId="0" borderId="12" xfId="0" applyFont="1" applyBorder="1" applyAlignment="1">
      <alignment horizontal="center"/>
    </xf>
    <xf numFmtId="0" fontId="8" fillId="0" borderId="4" xfId="0" applyFont="1" applyBorder="1" applyAlignment="1">
      <alignment horizontal="center"/>
    </xf>
    <xf numFmtId="0" fontId="8" fillId="0" borderId="12" xfId="0" quotePrefix="1" applyFont="1" applyBorder="1" applyAlignment="1">
      <alignment horizontal="left" wrapText="1"/>
    </xf>
    <xf numFmtId="0" fontId="8" fillId="0" borderId="4" xfId="0" quotePrefix="1" applyFont="1" applyBorder="1" applyAlignment="1">
      <alignment horizontal="left"/>
    </xf>
    <xf numFmtId="0" fontId="8" fillId="0" borderId="12" xfId="0" applyFont="1" applyBorder="1" applyAlignment="1">
      <alignment horizontal="left"/>
    </xf>
    <xf numFmtId="0" fontId="8" fillId="0" borderId="4" xfId="0" applyFont="1" applyBorder="1" applyAlignment="1">
      <alignment horizontal="left"/>
    </xf>
    <xf numFmtId="14" fontId="8" fillId="0" borderId="3" xfId="0" quotePrefix="1" applyNumberFormat="1" applyFont="1" applyBorder="1" applyAlignment="1">
      <alignment horizontal="left" vertical="center" wrapText="1"/>
    </xf>
    <xf numFmtId="14" fontId="8" fillId="0" borderId="3" xfId="0" applyNumberFormat="1" applyFont="1" applyBorder="1" applyAlignment="1">
      <alignment horizontal="left" vertical="center" wrapText="1"/>
    </xf>
    <xf numFmtId="0" fontId="8" fillId="0" borderId="3" xfId="0" quotePrefix="1" applyFont="1" applyBorder="1" applyAlignment="1">
      <alignment horizontal="left" vertical="center"/>
    </xf>
    <xf numFmtId="0" fontId="15" fillId="3" borderId="3" xfId="0" applyFont="1" applyFill="1" applyBorder="1" applyAlignment="1">
      <alignment horizontal="center" vertical="center"/>
    </xf>
    <xf numFmtId="0" fontId="15" fillId="3" borderId="9" xfId="0" applyFont="1" applyFill="1" applyBorder="1" applyAlignment="1">
      <alignment horizontal="center" vertical="center"/>
    </xf>
    <xf numFmtId="0" fontId="15" fillId="3" borderId="11" xfId="0" applyFont="1" applyFill="1" applyBorder="1" applyAlignment="1">
      <alignment horizontal="justify" vertical="center"/>
    </xf>
    <xf numFmtId="0" fontId="15" fillId="3" borderId="2" xfId="0" applyFont="1" applyFill="1" applyBorder="1" applyAlignment="1">
      <alignment horizontal="justify" vertical="center"/>
    </xf>
    <xf numFmtId="0" fontId="15" fillId="3" borderId="5"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23" fillId="3" borderId="3" xfId="0" applyFont="1" applyFill="1" applyBorder="1" applyAlignment="1">
      <alignment horizontal="center" vertical="center"/>
    </xf>
    <xf numFmtId="0" fontId="15" fillId="3" borderId="3"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5" fillId="3" borderId="12" xfId="0" applyFont="1" applyFill="1" applyBorder="1" applyAlignment="1">
      <alignment horizontal="left"/>
    </xf>
    <xf numFmtId="0" fontId="15" fillId="3" borderId="13" xfId="0" applyFont="1" applyFill="1" applyBorder="1" applyAlignment="1">
      <alignment horizontal="left"/>
    </xf>
    <xf numFmtId="0" fontId="15" fillId="3" borderId="4" xfId="0" applyFont="1" applyFill="1" applyBorder="1" applyAlignment="1">
      <alignment horizontal="left"/>
    </xf>
    <xf numFmtId="0" fontId="15" fillId="2" borderId="5"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15" fillId="2" borderId="5" xfId="0" applyFont="1" applyFill="1" applyBorder="1" applyAlignment="1">
      <alignment horizontal="justify" vertical="center"/>
    </xf>
    <xf numFmtId="0" fontId="15" fillId="2" borderId="6" xfId="0" applyFont="1" applyFill="1" applyBorder="1" applyAlignment="1">
      <alignment horizontal="justify" vertical="center"/>
    </xf>
    <xf numFmtId="0" fontId="23" fillId="2" borderId="12" xfId="0" applyFont="1" applyFill="1" applyBorder="1" applyAlignment="1">
      <alignment horizontal="center" vertical="center"/>
    </xf>
    <xf numFmtId="0" fontId="23" fillId="2" borderId="4" xfId="0" applyFont="1" applyFill="1" applyBorder="1" applyAlignment="1">
      <alignment horizontal="center" vertical="center"/>
    </xf>
    <xf numFmtId="0" fontId="15" fillId="2" borderId="3" xfId="0" applyFont="1" applyFill="1" applyBorder="1" applyAlignment="1">
      <alignment horizontal="center" vertical="center" wrapText="1"/>
    </xf>
    <xf numFmtId="0" fontId="8" fillId="0" borderId="4" xfId="0" quotePrefix="1" applyFont="1" applyBorder="1" applyAlignment="1">
      <alignment horizontal="left" vertical="center"/>
    </xf>
    <xf numFmtId="0" fontId="18" fillId="0" borderId="3" xfId="0" quotePrefix="1" applyFont="1" applyBorder="1" applyAlignment="1">
      <alignment horizontal="left" vertical="center" wrapText="1"/>
    </xf>
    <xf numFmtId="0" fontId="18" fillId="0" borderId="3" xfId="0" applyFont="1" applyBorder="1" applyAlignment="1">
      <alignment horizontal="left" vertical="center"/>
    </xf>
    <xf numFmtId="0" fontId="25" fillId="0" borderId="3" xfId="0" quotePrefix="1" applyFont="1" applyBorder="1" applyAlignment="1">
      <alignment horizontal="left" vertical="center" wrapText="1"/>
    </xf>
    <xf numFmtId="0" fontId="25" fillId="0" borderId="3" xfId="0" applyFont="1" applyBorder="1" applyAlignment="1">
      <alignment horizontal="left" vertical="center" wrapText="1"/>
    </xf>
    <xf numFmtId="0" fontId="18" fillId="0" borderId="3" xfId="0" quotePrefix="1" applyFont="1" applyBorder="1" applyAlignment="1">
      <alignment horizontal="left" vertical="center"/>
    </xf>
    <xf numFmtId="0" fontId="20" fillId="0" borderId="3" xfId="0" applyFont="1" applyBorder="1" applyAlignment="1">
      <alignment horizontal="left" vertical="center"/>
    </xf>
    <xf numFmtId="0" fontId="8" fillId="0" borderId="12" xfId="0" applyFont="1" applyBorder="1" applyAlignment="1">
      <alignment horizontal="center" vertical="center"/>
    </xf>
    <xf numFmtId="0" fontId="8" fillId="0" borderId="4" xfId="0" applyFont="1" applyBorder="1" applyAlignment="1">
      <alignment horizontal="center" vertical="center"/>
    </xf>
    <xf numFmtId="0" fontId="8" fillId="0" borderId="12" xfId="0" applyFont="1" applyBorder="1" applyAlignment="1">
      <alignment horizontal="center" vertical="top"/>
    </xf>
    <xf numFmtId="0" fontId="8" fillId="0" borderId="4" xfId="0" applyFont="1" applyBorder="1" applyAlignment="1">
      <alignment horizontal="center" vertical="top"/>
    </xf>
    <xf numFmtId="166" fontId="8" fillId="0" borderId="12" xfId="0" applyNumberFormat="1" applyFont="1" applyBorder="1" applyAlignment="1">
      <alignment horizontal="center" vertical="top" wrapText="1"/>
    </xf>
    <xf numFmtId="166" fontId="8" fillId="0" borderId="4" xfId="0" applyNumberFormat="1" applyFont="1" applyBorder="1" applyAlignment="1">
      <alignment horizontal="center" vertical="top" wrapText="1"/>
    </xf>
    <xf numFmtId="0" fontId="34" fillId="3" borderId="13" xfId="0" applyFont="1" applyFill="1" applyBorder="1" applyAlignment="1">
      <alignment horizontal="center" vertical="center"/>
    </xf>
    <xf numFmtId="0" fontId="34" fillId="3" borderId="4"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3" xfId="0" applyFont="1" applyFill="1" applyBorder="1" applyAlignment="1">
      <alignment horizontal="justify" vertical="center"/>
    </xf>
    <xf numFmtId="0" fontId="23" fillId="2" borderId="3" xfId="0" applyFont="1" applyFill="1" applyBorder="1" applyAlignment="1">
      <alignment horizontal="center" vertical="center"/>
    </xf>
    <xf numFmtId="0" fontId="8" fillId="0" borderId="10" xfId="0" applyFont="1" applyBorder="1" applyAlignment="1">
      <alignment horizontal="left"/>
    </xf>
    <xf numFmtId="0" fontId="8" fillId="0" borderId="12" xfId="0" quotePrefix="1" applyFont="1" applyBorder="1" applyAlignment="1">
      <alignment horizontal="left"/>
    </xf>
    <xf numFmtId="0" fontId="8" fillId="0" borderId="12" xfId="0" quotePrefix="1" applyFont="1" applyBorder="1" applyAlignment="1">
      <alignment horizontal="left" vertical="center"/>
    </xf>
    <xf numFmtId="0" fontId="8" fillId="0" borderId="4" xfId="0" applyFont="1" applyBorder="1" applyAlignment="1">
      <alignment horizontal="left" vertical="center"/>
    </xf>
    <xf numFmtId="0" fontId="15" fillId="3" borderId="3" xfId="0" applyFont="1" applyFill="1" applyBorder="1" applyAlignment="1">
      <alignment horizontal="left"/>
    </xf>
    <xf numFmtId="0" fontId="8" fillId="0" borderId="3" xfId="0" applyFont="1" applyBorder="1" applyAlignment="1">
      <alignment horizontal="left" vertical="center" wrapText="1"/>
    </xf>
    <xf numFmtId="0" fontId="15" fillId="0" borderId="0" xfId="0" applyFont="1" applyAlignment="1">
      <alignment horizontal="center"/>
    </xf>
    <xf numFmtId="0" fontId="36" fillId="0" borderId="0" xfId="0" applyFont="1" applyAlignment="1">
      <alignment horizontal="center"/>
    </xf>
    <xf numFmtId="0" fontId="15" fillId="0" borderId="1" xfId="0" applyFont="1" applyBorder="1" applyAlignment="1">
      <alignment horizontal="center"/>
    </xf>
    <xf numFmtId="0" fontId="8" fillId="0" borderId="0" xfId="0" applyFont="1" applyAlignment="1">
      <alignment horizontal="center"/>
    </xf>
    <xf numFmtId="0" fontId="8" fillId="0" borderId="2" xfId="0" applyFont="1" applyBorder="1" applyAlignment="1">
      <alignment horizontal="center"/>
    </xf>
    <xf numFmtId="0" fontId="15" fillId="3" borderId="3" xfId="0" applyFont="1" applyFill="1" applyBorder="1" applyAlignment="1">
      <alignment horizontal="justify" vertical="center"/>
    </xf>
    <xf numFmtId="166" fontId="13" fillId="0" borderId="12" xfId="0" applyNumberFormat="1" applyFont="1" applyBorder="1" applyAlignment="1">
      <alignment horizontal="center" vertical="center" wrapText="1"/>
    </xf>
    <xf numFmtId="166" fontId="13" fillId="0" borderId="4" xfId="0" applyNumberFormat="1" applyFont="1" applyBorder="1" applyAlignment="1">
      <alignment horizontal="center" vertical="center" wrapText="1"/>
    </xf>
    <xf numFmtId="0" fontId="15" fillId="0" borderId="12" xfId="0" applyFont="1" applyBorder="1" applyAlignment="1">
      <alignment horizontal="left"/>
    </xf>
    <xf numFmtId="0" fontId="15" fillId="0" borderId="4" xfId="0" applyFont="1" applyBorder="1" applyAlignment="1">
      <alignment horizontal="left"/>
    </xf>
    <xf numFmtId="14" fontId="20" fillId="0" borderId="3" xfId="0" quotePrefix="1" applyNumberFormat="1" applyFont="1" applyBorder="1" applyAlignment="1">
      <alignment horizontal="left" vertical="center" wrapText="1"/>
    </xf>
    <xf numFmtId="14" fontId="20" fillId="0" borderId="3" xfId="0" applyNumberFormat="1" applyFont="1" applyBorder="1" applyAlignment="1">
      <alignment horizontal="left" vertical="center" wrapText="1"/>
    </xf>
    <xf numFmtId="0" fontId="25" fillId="0" borderId="3" xfId="0" applyFont="1" applyBorder="1" applyAlignment="1">
      <alignment horizontal="left" vertical="center"/>
    </xf>
    <xf numFmtId="166" fontId="8" fillId="0" borderId="12" xfId="0" applyNumberFormat="1" applyFont="1" applyBorder="1" applyAlignment="1">
      <alignment horizontal="center" vertical="center" wrapText="1"/>
    </xf>
    <xf numFmtId="166" fontId="8" fillId="0" borderId="4" xfId="0" applyNumberFormat="1" applyFont="1" applyBorder="1"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horizontal="center" vertical="center"/>
    </xf>
    <xf numFmtId="0" fontId="36" fillId="0" borderId="0" xfId="0" applyFont="1" applyAlignment="1">
      <alignment horizontal="center" vertical="center" wrapText="1"/>
    </xf>
    <xf numFmtId="0" fontId="36" fillId="0" borderId="0" xfId="0" applyFont="1" applyAlignment="1">
      <alignment horizontal="center" vertic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8" fillId="0" borderId="0" xfId="0" applyFont="1" applyAlignment="1">
      <alignment horizontal="center" vertical="center"/>
    </xf>
    <xf numFmtId="0" fontId="8" fillId="0" borderId="2" xfId="0" applyFont="1" applyBorder="1" applyAlignment="1">
      <alignment horizontal="center" vertical="center"/>
    </xf>
    <xf numFmtId="0" fontId="15" fillId="3" borderId="12" xfId="0" applyFont="1" applyFill="1" applyBorder="1" applyAlignment="1">
      <alignment horizontal="left" vertical="center"/>
    </xf>
    <xf numFmtId="0" fontId="15" fillId="3" borderId="13" xfId="0" applyFont="1" applyFill="1" applyBorder="1" applyAlignment="1">
      <alignment horizontal="left" vertical="center"/>
    </xf>
    <xf numFmtId="0" fontId="15" fillId="3" borderId="4" xfId="0" applyFont="1" applyFill="1" applyBorder="1" applyAlignment="1">
      <alignment horizontal="left" vertical="center"/>
    </xf>
    <xf numFmtId="0" fontId="8" fillId="4" borderId="3" xfId="0" applyFont="1" applyFill="1" applyBorder="1" applyAlignment="1">
      <alignment horizontal="center"/>
    </xf>
    <xf numFmtId="0" fontId="2" fillId="0" borderId="0" xfId="0" applyFont="1" applyAlignment="1">
      <alignment horizontal="center" vertical="center"/>
    </xf>
    <xf numFmtId="0" fontId="3" fillId="0" borderId="0" xfId="0" applyFont="1" applyAlignment="1">
      <alignment horizontal="center" vertical="center"/>
    </xf>
    <xf numFmtId="0" fontId="2" fillId="0" borderId="1" xfId="0" applyFont="1" applyBorder="1" applyAlignment="1">
      <alignment horizontal="center" vertical="center"/>
    </xf>
    <xf numFmtId="0" fontId="4" fillId="0" borderId="0" xfId="0" applyFont="1" applyAlignment="1">
      <alignment horizontal="center"/>
    </xf>
    <xf numFmtId="0" fontId="2" fillId="3" borderId="3" xfId="0" applyFont="1" applyFill="1" applyBorder="1" applyAlignment="1">
      <alignment horizontal="center"/>
    </xf>
    <xf numFmtId="0" fontId="15" fillId="0" borderId="3" xfId="0" applyFont="1" applyBorder="1" applyAlignment="1">
      <alignment horizontal="left" vertical="center"/>
    </xf>
    <xf numFmtId="0" fontId="15" fillId="3" borderId="12" xfId="0" applyFont="1" applyFill="1" applyBorder="1" applyAlignment="1">
      <alignment horizontal="center" vertical="center"/>
    </xf>
    <xf numFmtId="0" fontId="15" fillId="3" borderId="13" xfId="0" applyFont="1" applyFill="1" applyBorder="1" applyAlignment="1">
      <alignment horizontal="center" vertical="center"/>
    </xf>
    <xf numFmtId="0" fontId="15" fillId="3" borderId="4" xfId="0" applyFont="1" applyFill="1" applyBorder="1" applyAlignment="1">
      <alignment horizontal="center" vertical="center"/>
    </xf>
    <xf numFmtId="0" fontId="2" fillId="2" borderId="3" xfId="0" applyFont="1" applyFill="1" applyBorder="1" applyAlignment="1">
      <alignment horizontal="center" vertical="center" wrapText="1"/>
    </xf>
    <xf numFmtId="14" fontId="15" fillId="0" borderId="12" xfId="0" applyNumberFormat="1" applyFont="1" applyBorder="1" applyAlignment="1">
      <alignment horizontal="left" vertical="top" wrapText="1"/>
    </xf>
    <xf numFmtId="14" fontId="15" fillId="0" borderId="13" xfId="0" applyNumberFormat="1" applyFont="1" applyBorder="1" applyAlignment="1">
      <alignment horizontal="left" vertical="top" wrapText="1"/>
    </xf>
    <xf numFmtId="14" fontId="15" fillId="0" borderId="4" xfId="0" applyNumberFormat="1" applyFont="1" applyBorder="1" applyAlignment="1">
      <alignment horizontal="left" vertical="top" wrapText="1"/>
    </xf>
    <xf numFmtId="0" fontId="15" fillId="0" borderId="8" xfId="0" applyFont="1" applyBorder="1" applyAlignment="1">
      <alignment horizontal="left" vertical="top"/>
    </xf>
    <xf numFmtId="0" fontId="15" fillId="0" borderId="20" xfId="0" applyFont="1" applyBorder="1" applyAlignment="1">
      <alignment horizontal="left" vertical="top"/>
    </xf>
    <xf numFmtId="0" fontId="15" fillId="0" borderId="11" xfId="0" applyFont="1" applyBorder="1" applyAlignment="1">
      <alignment horizontal="left" vertical="top"/>
    </xf>
    <xf numFmtId="0" fontId="15" fillId="3" borderId="11" xfId="0" applyFont="1" applyFill="1" applyBorder="1" applyAlignment="1">
      <alignment horizontal="center" vertical="center"/>
    </xf>
    <xf numFmtId="0" fontId="15" fillId="3" borderId="2" xfId="0" applyFont="1" applyFill="1" applyBorder="1" applyAlignment="1">
      <alignment horizontal="center" vertical="center"/>
    </xf>
    <xf numFmtId="0" fontId="2" fillId="2" borderId="3" xfId="0" applyFont="1" applyFill="1" applyBorder="1" applyAlignment="1">
      <alignment horizontal="center" vertical="center"/>
    </xf>
    <xf numFmtId="0" fontId="14" fillId="2" borderId="3" xfId="0" applyFont="1" applyFill="1" applyBorder="1" applyAlignment="1">
      <alignment horizontal="center" vertical="center"/>
    </xf>
    <xf numFmtId="0" fontId="4" fillId="0" borderId="12" xfId="0" quotePrefix="1" applyFont="1" applyBorder="1" applyAlignment="1">
      <alignment horizontal="left" vertical="top" wrapText="1"/>
    </xf>
    <xf numFmtId="0" fontId="4" fillId="0" borderId="4" xfId="0" quotePrefix="1" applyFont="1" applyBorder="1" applyAlignment="1">
      <alignment horizontal="left" vertical="top" wrapText="1"/>
    </xf>
    <xf numFmtId="0" fontId="15" fillId="0" borderId="3" xfId="0" quotePrefix="1" applyFont="1" applyBorder="1" applyAlignment="1">
      <alignment horizontal="left" vertical="center"/>
    </xf>
    <xf numFmtId="0" fontId="4" fillId="0" borderId="12" xfId="0" quotePrefix="1" applyFont="1" applyBorder="1" applyAlignment="1">
      <alignment horizontal="left" vertical="center" wrapText="1"/>
    </xf>
    <xf numFmtId="0" fontId="4" fillId="0" borderId="4" xfId="0" quotePrefix="1" applyFont="1" applyBorder="1" applyAlignment="1">
      <alignment horizontal="left" vertical="center" wrapText="1"/>
    </xf>
    <xf numFmtId="0" fontId="15" fillId="0" borderId="12" xfId="0" applyFont="1" applyBorder="1" applyAlignment="1">
      <alignment horizontal="left" vertical="center"/>
    </xf>
    <xf numFmtId="0" fontId="15" fillId="0" borderId="13" xfId="0" applyFont="1" applyBorder="1" applyAlignment="1">
      <alignment horizontal="left" vertical="center"/>
    </xf>
    <xf numFmtId="0" fontId="15" fillId="0" borderId="4" xfId="0" applyFont="1" applyBorder="1" applyAlignment="1">
      <alignment horizontal="left" vertical="center"/>
    </xf>
    <xf numFmtId="14" fontId="15" fillId="0" borderId="3" xfId="0" applyNumberFormat="1" applyFont="1" applyBorder="1" applyAlignment="1">
      <alignment horizontal="left" vertical="center" wrapText="1"/>
    </xf>
    <xf numFmtId="0" fontId="15" fillId="0" borderId="13" xfId="0" applyFont="1" applyBorder="1" applyAlignment="1">
      <alignment horizontal="left"/>
    </xf>
    <xf numFmtId="0" fontId="18" fillId="0" borderId="10" xfId="0" applyFont="1" applyBorder="1" applyAlignment="1">
      <alignment horizontal="left"/>
    </xf>
    <xf numFmtId="0" fontId="8" fillId="0" borderId="3" xfId="0" quotePrefix="1" applyFont="1" applyBorder="1" applyAlignment="1">
      <alignment horizontal="left"/>
    </xf>
    <xf numFmtId="0" fontId="25" fillId="4" borderId="3" xfId="0" applyFont="1" applyFill="1" applyBorder="1" applyAlignment="1">
      <alignment horizontal="left"/>
    </xf>
    <xf numFmtId="0" fontId="15" fillId="2" borderId="5" xfId="0" applyFont="1" applyFill="1" applyBorder="1" applyAlignment="1">
      <alignment horizontal="center" vertical="center"/>
    </xf>
    <xf numFmtId="0" fontId="15" fillId="2" borderId="6" xfId="0" applyFont="1" applyFill="1" applyBorder="1" applyAlignment="1">
      <alignment horizontal="center" vertical="center"/>
    </xf>
    <xf numFmtId="0" fontId="25" fillId="0" borderId="12" xfId="0" quotePrefix="1" applyFont="1" applyBorder="1" applyAlignment="1">
      <alignment horizontal="left" vertical="center" wrapText="1"/>
    </xf>
    <xf numFmtId="0" fontId="25" fillId="0" borderId="4" xfId="0" quotePrefix="1" applyFont="1" applyBorder="1" applyAlignment="1">
      <alignment horizontal="left" vertical="center" wrapText="1"/>
    </xf>
    <xf numFmtId="0" fontId="8" fillId="0" borderId="3" xfId="0" applyFont="1" applyBorder="1" applyAlignment="1">
      <alignment horizontal="center"/>
    </xf>
    <xf numFmtId="0" fontId="18" fillId="0" borderId="12" xfId="0" quotePrefix="1" applyFont="1" applyBorder="1" applyAlignment="1">
      <alignment horizontal="left" vertical="center"/>
    </xf>
    <xf numFmtId="0" fontId="18" fillId="0" borderId="4" xfId="0" quotePrefix="1" applyFont="1" applyBorder="1" applyAlignment="1">
      <alignment horizontal="left" vertical="center"/>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20"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4" xfId="0" applyFont="1" applyFill="1" applyBorder="1" applyAlignment="1">
      <alignment horizontal="center" vertical="center"/>
    </xf>
    <xf numFmtId="0" fontId="23" fillId="0" borderId="12" xfId="0" applyFont="1" applyBorder="1" applyAlignment="1">
      <alignment horizontal="center" vertical="center"/>
    </xf>
    <xf numFmtId="0" fontId="23" fillId="0" borderId="4" xfId="0" applyFont="1" applyBorder="1" applyAlignment="1">
      <alignment horizontal="center" vertical="center"/>
    </xf>
    <xf numFmtId="14" fontId="15" fillId="0" borderId="12" xfId="0" applyNumberFormat="1" applyFont="1" applyBorder="1" applyAlignment="1">
      <alignment horizontal="left" vertical="center" wrapText="1"/>
    </xf>
    <xf numFmtId="14" fontId="15" fillId="0" borderId="13" xfId="0" applyNumberFormat="1" applyFont="1" applyBorder="1" applyAlignment="1">
      <alignment horizontal="left" vertical="center" wrapText="1"/>
    </xf>
    <xf numFmtId="14" fontId="15" fillId="0" borderId="4" xfId="0" applyNumberFormat="1" applyFont="1" applyBorder="1" applyAlignment="1">
      <alignment horizontal="left" vertical="center" wrapText="1"/>
    </xf>
    <xf numFmtId="0" fontId="14" fillId="2" borderId="3" xfId="0" applyFont="1" applyFill="1" applyBorder="1" applyAlignment="1">
      <alignment vertical="center"/>
    </xf>
    <xf numFmtId="0" fontId="15" fillId="0" borderId="3" xfId="0" quotePrefix="1" applyFont="1" applyBorder="1" applyAlignment="1">
      <alignment horizontal="left" vertical="center" wrapText="1"/>
    </xf>
    <xf numFmtId="0" fontId="15" fillId="0" borderId="3" xfId="0" applyFont="1" applyBorder="1" applyAlignment="1">
      <alignment horizontal="left"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15" fillId="0" borderId="3" xfId="0" applyFont="1" applyBorder="1" applyAlignment="1">
      <alignment horizontal="left"/>
    </xf>
    <xf numFmtId="0" fontId="20" fillId="0" borderId="3" xfId="0" quotePrefix="1" applyFont="1" applyBorder="1" applyAlignment="1">
      <alignment horizontal="left"/>
    </xf>
    <xf numFmtId="0" fontId="20" fillId="0" borderId="3" xfId="0" applyFont="1" applyBorder="1" applyAlignment="1">
      <alignment horizontal="left"/>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4" xfId="0" applyFont="1" applyFill="1" applyBorder="1" applyAlignment="1">
      <alignment horizontal="center"/>
    </xf>
    <xf numFmtId="0" fontId="2" fillId="3" borderId="17" xfId="0" applyFont="1" applyFill="1" applyBorder="1" applyAlignment="1">
      <alignment horizontal="center"/>
    </xf>
    <xf numFmtId="0" fontId="2" fillId="0" borderId="0" xfId="0" applyFont="1" applyAlignment="1">
      <alignment horizontal="center"/>
    </xf>
    <xf numFmtId="0" fontId="3" fillId="0" borderId="0" xfId="0" applyFont="1" applyAlignment="1">
      <alignment horizontal="center"/>
    </xf>
    <xf numFmtId="0" fontId="2" fillId="0" borderId="1" xfId="0" applyFont="1" applyBorder="1" applyAlignment="1">
      <alignment horizontal="center"/>
    </xf>
    <xf numFmtId="0" fontId="4" fillId="0" borderId="2" xfId="0" applyFont="1" applyBorder="1" applyAlignment="1">
      <alignment horizontal="center"/>
    </xf>
    <xf numFmtId="0" fontId="10" fillId="0" borderId="0" xfId="0" applyFont="1" applyAlignment="1">
      <alignment horizontal="center" vertical="center"/>
    </xf>
    <xf numFmtId="0" fontId="10" fillId="0" borderId="0" xfId="0" applyFont="1" applyAlignment="1">
      <alignment horizontal="center"/>
    </xf>
    <xf numFmtId="0" fontId="9" fillId="0" borderId="0" xfId="0" applyFont="1" applyAlignment="1">
      <alignment horizontal="center" vertical="center"/>
    </xf>
    <xf numFmtId="0" fontId="14" fillId="2" borderId="12" xfId="0" applyFont="1" applyFill="1" applyBorder="1" applyAlignment="1">
      <alignment horizontal="center" vertical="center"/>
    </xf>
    <xf numFmtId="0" fontId="14" fillId="2" borderId="4" xfId="0" applyFont="1" applyFill="1" applyBorder="1" applyAlignment="1">
      <alignment horizontal="center" vertical="center"/>
    </xf>
  </cellXfs>
  <cellStyles count="4">
    <cellStyle name="Comma" xfId="1" builtinId="3"/>
    <cellStyle name="Normal" xfId="0" builtinId="0"/>
    <cellStyle name="Normal 2" xfId="3" xr:uid="{00000000-0005-0000-0000-000002000000}"/>
    <cellStyle name="Normal 3"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342"/>
  <sheetViews>
    <sheetView topLeftCell="A41" zoomScale="85" zoomScaleNormal="85" zoomScaleSheetLayoutView="100" workbookViewId="0">
      <selection activeCell="A40" sqref="A40:XFD40"/>
    </sheetView>
  </sheetViews>
  <sheetFormatPr defaultColWidth="9" defaultRowHeight="14"/>
  <cols>
    <col min="1" max="1" width="5.83203125" style="40" customWidth="1"/>
    <col min="2" max="2" width="43.75" style="379" customWidth="1"/>
    <col min="3" max="3" width="11.25" style="40" customWidth="1"/>
    <col min="4" max="5" width="11.25" style="334" customWidth="1"/>
    <col min="6" max="6" width="52.58203125" style="379" customWidth="1"/>
    <col min="7" max="7" width="43.75" style="40" customWidth="1"/>
    <col min="8" max="8" width="16" style="235" customWidth="1"/>
    <col min="9" max="9" width="26.58203125" style="40" bestFit="1" customWidth="1"/>
    <col min="10" max="256" width="9" style="40"/>
    <col min="257" max="257" width="5.83203125" style="40" customWidth="1"/>
    <col min="258" max="258" width="62.41406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41406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41406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41406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41406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41406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41406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41406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41406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41406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41406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41406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41406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41406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41406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41406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41406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41406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41406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41406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41406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41406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41406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41406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41406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41406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41406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41406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41406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41406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41406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41406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41406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41406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41406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41406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41406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41406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41406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41406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41406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41406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41406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41406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41406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41406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41406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41406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41406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41406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41406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41406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41406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41406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41406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41406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41406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41406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41406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41406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41406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41406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41406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17.5">
      <c r="A1" s="480" t="s">
        <v>0</v>
      </c>
      <c r="B1" s="480"/>
      <c r="C1" s="481" t="s">
        <v>19</v>
      </c>
      <c r="D1" s="481"/>
      <c r="E1" s="481"/>
      <c r="F1" s="481"/>
      <c r="G1" s="481"/>
      <c r="H1" s="481"/>
    </row>
    <row r="2" spans="1:10" ht="15.5" thickBot="1">
      <c r="A2" s="482" t="s">
        <v>18</v>
      </c>
      <c r="B2" s="482"/>
      <c r="C2" s="482" t="s">
        <v>379</v>
      </c>
      <c r="D2" s="482"/>
      <c r="E2" s="482"/>
      <c r="F2" s="482"/>
      <c r="G2" s="482"/>
      <c r="H2" s="482"/>
    </row>
    <row r="3" spans="1:10" ht="16" thickTop="1">
      <c r="A3" s="219"/>
      <c r="B3" s="350"/>
      <c r="C3" s="219"/>
      <c r="D3" s="321"/>
      <c r="E3" s="321"/>
      <c r="F3" s="350"/>
      <c r="G3" s="219"/>
      <c r="H3" s="221"/>
    </row>
    <row r="4" spans="1:10" ht="15.5">
      <c r="A4" s="219"/>
      <c r="B4" s="351"/>
      <c r="C4" s="483"/>
      <c r="D4" s="483"/>
      <c r="E4" s="483"/>
      <c r="F4" s="483"/>
      <c r="G4" s="484"/>
      <c r="H4" s="44" t="s">
        <v>1</v>
      </c>
    </row>
    <row r="5" spans="1:10" ht="20">
      <c r="A5" s="469" t="s">
        <v>22</v>
      </c>
      <c r="B5" s="469"/>
      <c r="C5" s="469"/>
      <c r="D5" s="469"/>
      <c r="E5" s="469"/>
      <c r="F5" s="469"/>
      <c r="G5" s="469"/>
      <c r="H5" s="470"/>
    </row>
    <row r="6" spans="1:10" s="34" customFormat="1" ht="15.5">
      <c r="A6" s="455" t="s">
        <v>2</v>
      </c>
      <c r="B6" s="472" t="s">
        <v>3</v>
      </c>
      <c r="C6" s="455" t="s">
        <v>4</v>
      </c>
      <c r="D6" s="473" t="s">
        <v>5</v>
      </c>
      <c r="E6" s="473"/>
      <c r="F6" s="472" t="s">
        <v>6</v>
      </c>
      <c r="G6" s="455" t="s">
        <v>7</v>
      </c>
      <c r="H6" s="455" t="s">
        <v>392</v>
      </c>
    </row>
    <row r="7" spans="1:10" s="34" customFormat="1" ht="15.5">
      <c r="A7" s="455"/>
      <c r="B7" s="472"/>
      <c r="C7" s="455"/>
      <c r="D7" s="82" t="s">
        <v>8</v>
      </c>
      <c r="E7" s="82" t="s">
        <v>9</v>
      </c>
      <c r="F7" s="472"/>
      <c r="G7" s="455"/>
      <c r="H7" s="455"/>
    </row>
    <row r="8" spans="1:10" ht="27.75" customHeight="1">
      <c r="A8" s="104" t="s">
        <v>10</v>
      </c>
      <c r="B8" s="352" t="s">
        <v>417</v>
      </c>
      <c r="C8" s="37"/>
      <c r="D8" s="322"/>
      <c r="E8" s="322"/>
      <c r="F8" s="380"/>
      <c r="G8" s="37"/>
      <c r="H8" s="44"/>
    </row>
    <row r="9" spans="1:10" s="52" customFormat="1" ht="30">
      <c r="A9" s="104">
        <v>1</v>
      </c>
      <c r="B9" s="222" t="s">
        <v>655</v>
      </c>
      <c r="C9" s="44" t="s">
        <v>12</v>
      </c>
      <c r="D9" s="93">
        <v>45828</v>
      </c>
      <c r="E9" s="93">
        <v>45833</v>
      </c>
      <c r="F9" s="217" t="s">
        <v>21</v>
      </c>
      <c r="G9" s="193"/>
      <c r="H9" s="216" t="s">
        <v>84</v>
      </c>
    </row>
    <row r="10" spans="1:10" s="52" customFormat="1" ht="24.75" customHeight="1">
      <c r="A10" s="104">
        <v>2</v>
      </c>
      <c r="B10" s="222" t="s">
        <v>30</v>
      </c>
      <c r="C10" s="44" t="s">
        <v>12</v>
      </c>
      <c r="D10" s="93">
        <v>45828</v>
      </c>
      <c r="E10" s="93">
        <v>45833</v>
      </c>
      <c r="F10" s="217" t="s">
        <v>40</v>
      </c>
      <c r="G10" s="193"/>
      <c r="H10" s="216" t="s">
        <v>84</v>
      </c>
    </row>
    <row r="11" spans="1:10" s="52" customFormat="1" ht="65.25" customHeight="1">
      <c r="A11" s="104">
        <v>3</v>
      </c>
      <c r="B11" s="222" t="s">
        <v>31</v>
      </c>
      <c r="C11" s="44" t="s">
        <v>12</v>
      </c>
      <c r="D11" s="93">
        <v>45828</v>
      </c>
      <c r="E11" s="93">
        <v>45833</v>
      </c>
      <c r="F11" s="217" t="s">
        <v>612</v>
      </c>
      <c r="G11" s="193"/>
      <c r="H11" s="216" t="s">
        <v>84</v>
      </c>
    </row>
    <row r="12" spans="1:10" s="52" customFormat="1" ht="32.25" customHeight="1">
      <c r="A12" s="104">
        <v>4</v>
      </c>
      <c r="B12" s="222" t="s">
        <v>25</v>
      </c>
      <c r="C12" s="44" t="s">
        <v>12</v>
      </c>
      <c r="D12" s="74" t="s">
        <v>53</v>
      </c>
      <c r="E12" s="74" t="s">
        <v>53</v>
      </c>
      <c r="F12" s="217" t="s">
        <v>26</v>
      </c>
      <c r="G12" s="193"/>
      <c r="H12" s="216" t="s">
        <v>84</v>
      </c>
    </row>
    <row r="13" spans="1:10" s="52" customFormat="1" ht="161.25" customHeight="1">
      <c r="A13" s="104">
        <v>5</v>
      </c>
      <c r="B13" s="222" t="s">
        <v>36</v>
      </c>
      <c r="C13" s="44" t="s">
        <v>12</v>
      </c>
      <c r="D13" s="74" t="s">
        <v>53</v>
      </c>
      <c r="E13" s="74" t="s">
        <v>53</v>
      </c>
      <c r="F13" s="217" t="s">
        <v>862</v>
      </c>
      <c r="G13" s="193"/>
      <c r="H13" s="216" t="s">
        <v>393</v>
      </c>
    </row>
    <row r="14" spans="1:10" s="52" customFormat="1" ht="15.5">
      <c r="A14" s="104">
        <v>6</v>
      </c>
      <c r="B14" s="310" t="s">
        <v>863</v>
      </c>
      <c r="C14" s="44"/>
      <c r="D14" s="74" t="s">
        <v>53</v>
      </c>
      <c r="E14" s="74" t="s">
        <v>53</v>
      </c>
      <c r="F14" s="215"/>
      <c r="G14" s="193"/>
      <c r="H14" s="216" t="s">
        <v>393</v>
      </c>
    </row>
    <row r="15" spans="1:10" s="52" customFormat="1" ht="43.5" customHeight="1">
      <c r="A15" s="104">
        <v>7</v>
      </c>
      <c r="B15" s="310" t="s">
        <v>170</v>
      </c>
      <c r="C15" s="44"/>
      <c r="D15" s="74" t="s">
        <v>53</v>
      </c>
      <c r="E15" s="74" t="s">
        <v>53</v>
      </c>
      <c r="F15" s="217" t="s">
        <v>171</v>
      </c>
      <c r="G15" s="193"/>
      <c r="H15" s="216" t="s">
        <v>393</v>
      </c>
    </row>
    <row r="16" spans="1:10" s="52" customFormat="1" ht="36" customHeight="1">
      <c r="A16" s="104">
        <v>8</v>
      </c>
      <c r="B16" s="310" t="s">
        <v>61</v>
      </c>
      <c r="C16" s="44" t="s">
        <v>39</v>
      </c>
      <c r="D16" s="74" t="s">
        <v>53</v>
      </c>
      <c r="E16" s="74" t="s">
        <v>53</v>
      </c>
      <c r="F16" s="217" t="s">
        <v>62</v>
      </c>
      <c r="G16" s="193"/>
      <c r="H16" s="216" t="s">
        <v>84</v>
      </c>
      <c r="I16" s="313" t="s">
        <v>375</v>
      </c>
      <c r="J16" s="224"/>
    </row>
    <row r="17" spans="1:8" s="52" customFormat="1" ht="32.25" customHeight="1">
      <c r="A17" s="44" t="s">
        <v>424</v>
      </c>
      <c r="B17" s="217" t="s">
        <v>603</v>
      </c>
      <c r="C17" s="44"/>
      <c r="D17" s="486" t="s">
        <v>586</v>
      </c>
      <c r="E17" s="487"/>
      <c r="F17" s="217" t="s">
        <v>585</v>
      </c>
      <c r="G17" s="193"/>
      <c r="H17" s="198"/>
    </row>
    <row r="18" spans="1:8" s="52" customFormat="1" ht="30" customHeight="1">
      <c r="A18" s="44" t="s">
        <v>426</v>
      </c>
      <c r="B18" s="217" t="s">
        <v>604</v>
      </c>
      <c r="C18" s="44"/>
      <c r="D18" s="486" t="s">
        <v>586</v>
      </c>
      <c r="E18" s="487"/>
      <c r="F18" s="217" t="s">
        <v>585</v>
      </c>
      <c r="G18" s="193"/>
      <c r="H18" s="198"/>
    </row>
    <row r="19" spans="1:8" s="52" customFormat="1" ht="31">
      <c r="A19" s="44" t="s">
        <v>428</v>
      </c>
      <c r="B19" s="217" t="s">
        <v>856</v>
      </c>
      <c r="C19" s="44"/>
      <c r="D19" s="93">
        <v>45831</v>
      </c>
      <c r="E19" s="93">
        <v>45831</v>
      </c>
      <c r="F19" s="217" t="s">
        <v>860</v>
      </c>
      <c r="G19" s="193"/>
      <c r="H19" s="198"/>
    </row>
    <row r="20" spans="1:8" s="52" customFormat="1" ht="31">
      <c r="A20" s="44" t="s">
        <v>616</v>
      </c>
      <c r="B20" s="217" t="s">
        <v>857</v>
      </c>
      <c r="C20" s="44"/>
      <c r="D20" s="93">
        <v>45831</v>
      </c>
      <c r="E20" s="93">
        <v>45831</v>
      </c>
      <c r="F20" s="217" t="s">
        <v>859</v>
      </c>
      <c r="G20" s="193"/>
      <c r="H20" s="198"/>
    </row>
    <row r="21" spans="1:8" s="52" customFormat="1" ht="31">
      <c r="A21" s="44" t="s">
        <v>617</v>
      </c>
      <c r="B21" s="217" t="s">
        <v>858</v>
      </c>
      <c r="C21" s="44"/>
      <c r="D21" s="93">
        <v>45831</v>
      </c>
      <c r="E21" s="93">
        <v>45831</v>
      </c>
      <c r="F21" s="217" t="s">
        <v>861</v>
      </c>
      <c r="G21" s="193"/>
      <c r="H21" s="198"/>
    </row>
    <row r="22" spans="1:8" s="52" customFormat="1" ht="15.5" hidden="1">
      <c r="A22" s="44" t="s">
        <v>618</v>
      </c>
      <c r="B22" s="217"/>
      <c r="C22" s="44"/>
      <c r="D22" s="93"/>
      <c r="E22" s="93"/>
      <c r="F22" s="217"/>
      <c r="G22" s="193"/>
      <c r="H22" s="198"/>
    </row>
    <row r="23" spans="1:8" s="52" customFormat="1" ht="15.5" hidden="1">
      <c r="A23" s="44" t="s">
        <v>619</v>
      </c>
      <c r="B23" s="217"/>
      <c r="C23" s="44"/>
      <c r="D23" s="93"/>
      <c r="E23" s="93"/>
      <c r="F23" s="217"/>
      <c r="G23" s="193"/>
      <c r="H23" s="198"/>
    </row>
    <row r="24" spans="1:8" s="52" customFormat="1" ht="17.25" hidden="1" customHeight="1">
      <c r="A24" s="44" t="s">
        <v>620</v>
      </c>
      <c r="B24" s="217"/>
      <c r="C24" s="44"/>
      <c r="D24" s="93"/>
      <c r="E24" s="93"/>
      <c r="F24" s="217"/>
      <c r="G24" s="193"/>
      <c r="H24" s="198"/>
    </row>
    <row r="25" spans="1:8" s="52" customFormat="1" ht="15.5" hidden="1">
      <c r="A25" s="44" t="s">
        <v>621</v>
      </c>
      <c r="B25" s="217"/>
      <c r="C25" s="44"/>
      <c r="D25" s="93"/>
      <c r="E25" s="93"/>
      <c r="F25" s="217"/>
      <c r="G25" s="193"/>
      <c r="H25" s="198"/>
    </row>
    <row r="26" spans="1:8" s="52" customFormat="1" ht="15.5" hidden="1">
      <c r="A26" s="44" t="s">
        <v>622</v>
      </c>
      <c r="B26" s="217"/>
      <c r="C26" s="44"/>
      <c r="D26" s="93"/>
      <c r="E26" s="93"/>
      <c r="F26" s="217"/>
      <c r="G26" s="193"/>
      <c r="H26" s="198"/>
    </row>
    <row r="27" spans="1:8" s="52" customFormat="1" ht="15.5" hidden="1">
      <c r="A27" s="44" t="s">
        <v>623</v>
      </c>
      <c r="B27" s="217"/>
      <c r="C27" s="44"/>
      <c r="D27" s="93"/>
      <c r="E27" s="93"/>
      <c r="F27" s="217"/>
      <c r="G27" s="193"/>
      <c r="H27" s="198"/>
    </row>
    <row r="28" spans="1:8" s="52" customFormat="1" ht="99.75" hidden="1" customHeight="1">
      <c r="A28" s="44" t="s">
        <v>624</v>
      </c>
      <c r="B28" s="217"/>
      <c r="C28" s="44"/>
      <c r="D28" s="93"/>
      <c r="E28" s="93"/>
      <c r="F28" s="311"/>
      <c r="G28" s="311"/>
      <c r="H28" s="198"/>
    </row>
    <row r="29" spans="1:8" s="52" customFormat="1" ht="15.5" hidden="1">
      <c r="A29" s="44" t="s">
        <v>625</v>
      </c>
      <c r="B29" s="217"/>
      <c r="C29" s="44"/>
      <c r="D29" s="93"/>
      <c r="E29" s="93"/>
      <c r="F29" s="217"/>
      <c r="G29" s="193"/>
      <c r="H29" s="198"/>
    </row>
    <row r="30" spans="1:8" s="52" customFormat="1" ht="54" hidden="1" customHeight="1">
      <c r="A30" s="44" t="s">
        <v>626</v>
      </c>
      <c r="B30" s="217"/>
      <c r="C30" s="44"/>
      <c r="D30" s="93"/>
      <c r="E30" s="93"/>
      <c r="F30" s="217"/>
      <c r="G30" s="193"/>
      <c r="H30" s="198"/>
    </row>
    <row r="31" spans="1:8" s="52" customFormat="1" ht="117" hidden="1" customHeight="1">
      <c r="A31" s="44" t="s">
        <v>627</v>
      </c>
      <c r="B31" s="217"/>
      <c r="C31" s="44"/>
      <c r="D31" s="93"/>
      <c r="E31" s="93"/>
      <c r="F31" s="217"/>
      <c r="G31" s="193"/>
      <c r="H31" s="198"/>
    </row>
    <row r="32" spans="1:8" s="52" customFormat="1" ht="15.5" hidden="1">
      <c r="A32" s="44" t="s">
        <v>628</v>
      </c>
      <c r="B32" s="217"/>
      <c r="C32" s="44"/>
      <c r="D32" s="93"/>
      <c r="E32" s="93"/>
      <c r="F32" s="217"/>
      <c r="G32" s="193"/>
      <c r="H32" s="198"/>
    </row>
    <row r="33" spans="1:8" s="52" customFormat="1" ht="15.5" hidden="1">
      <c r="A33" s="44" t="s">
        <v>629</v>
      </c>
      <c r="B33" s="217"/>
      <c r="C33" s="44"/>
      <c r="D33" s="93"/>
      <c r="E33" s="93"/>
      <c r="F33" s="217"/>
      <c r="G33" s="193"/>
      <c r="H33" s="198"/>
    </row>
    <row r="34" spans="1:8" s="52" customFormat="1" ht="63" hidden="1" customHeight="1">
      <c r="A34" s="44" t="s">
        <v>630</v>
      </c>
      <c r="B34" s="217"/>
      <c r="C34" s="44"/>
      <c r="D34" s="93"/>
      <c r="E34" s="93"/>
      <c r="F34" s="217"/>
      <c r="G34" s="193"/>
      <c r="H34" s="198"/>
    </row>
    <row r="35" spans="1:8" s="52" customFormat="1" ht="63" hidden="1" customHeight="1">
      <c r="A35" s="44" t="s">
        <v>631</v>
      </c>
      <c r="B35" s="217"/>
      <c r="C35" s="44"/>
      <c r="D35" s="93"/>
      <c r="E35" s="93"/>
      <c r="F35" s="217"/>
      <c r="G35" s="193"/>
      <c r="H35" s="198"/>
    </row>
    <row r="36" spans="1:8" s="52" customFormat="1" ht="63" hidden="1" customHeight="1">
      <c r="A36" s="44" t="s">
        <v>657</v>
      </c>
      <c r="B36" s="217"/>
      <c r="C36" s="44"/>
      <c r="D36" s="93"/>
      <c r="E36" s="93"/>
      <c r="F36" s="217"/>
      <c r="G36" s="193"/>
      <c r="H36" s="198"/>
    </row>
    <row r="37" spans="1:8" s="52" customFormat="1" ht="42.75" hidden="1" customHeight="1">
      <c r="A37" s="44" t="s">
        <v>631</v>
      </c>
      <c r="B37" s="217"/>
      <c r="C37" s="44"/>
      <c r="D37" s="93"/>
      <c r="E37" s="93"/>
      <c r="F37" s="217"/>
      <c r="G37" s="193"/>
      <c r="H37" s="198"/>
    </row>
    <row r="38" spans="1:8" ht="15.5">
      <c r="A38" s="35" t="s">
        <v>13</v>
      </c>
      <c r="B38" s="353" t="s">
        <v>418</v>
      </c>
      <c r="C38" s="60"/>
      <c r="D38" s="74"/>
      <c r="E38" s="74"/>
      <c r="F38" s="217"/>
      <c r="G38" s="56"/>
      <c r="H38" s="44"/>
    </row>
    <row r="39" spans="1:8" ht="19.5" customHeight="1">
      <c r="A39" s="35">
        <v>1</v>
      </c>
      <c r="B39" s="353" t="s">
        <v>554</v>
      </c>
      <c r="C39" s="50"/>
      <c r="D39" s="323"/>
      <c r="E39" s="323"/>
      <c r="F39" s="380"/>
      <c r="G39" s="196"/>
      <c r="H39" s="44"/>
    </row>
    <row r="40" spans="1:8" ht="46.5">
      <c r="A40" s="44" t="s">
        <v>552</v>
      </c>
      <c r="B40" s="354" t="s">
        <v>386</v>
      </c>
      <c r="C40" s="44" t="s">
        <v>39</v>
      </c>
      <c r="D40" s="93">
        <v>45809</v>
      </c>
      <c r="E40" s="93">
        <v>45828</v>
      </c>
      <c r="F40" s="217" t="s">
        <v>610</v>
      </c>
      <c r="G40" s="56" t="s">
        <v>635</v>
      </c>
      <c r="H40" s="104" t="s">
        <v>84</v>
      </c>
    </row>
    <row r="41" spans="1:8" s="52" customFormat="1" ht="193.5" customHeight="1">
      <c r="A41" s="44" t="s">
        <v>553</v>
      </c>
      <c r="B41" s="214" t="s">
        <v>371</v>
      </c>
      <c r="C41" s="44" t="s">
        <v>39</v>
      </c>
      <c r="D41" s="93">
        <v>45787</v>
      </c>
      <c r="E41" s="93">
        <v>45823</v>
      </c>
      <c r="F41" s="215" t="s">
        <v>613</v>
      </c>
      <c r="G41" s="314" t="s">
        <v>636</v>
      </c>
      <c r="H41" s="216" t="s">
        <v>84</v>
      </c>
    </row>
    <row r="42" spans="1:8" ht="304.5" customHeight="1">
      <c r="A42" s="44" t="s">
        <v>555</v>
      </c>
      <c r="B42" s="73" t="s">
        <v>389</v>
      </c>
      <c r="C42" s="44" t="s">
        <v>12</v>
      </c>
      <c r="D42" s="93">
        <v>45797</v>
      </c>
      <c r="E42" s="93">
        <v>45838</v>
      </c>
      <c r="F42" s="217" t="s">
        <v>614</v>
      </c>
      <c r="G42" s="188" t="s">
        <v>637</v>
      </c>
      <c r="H42" s="315" t="s">
        <v>90</v>
      </c>
    </row>
    <row r="43" spans="1:8" ht="67.5" customHeight="1">
      <c r="A43" s="44" t="s">
        <v>562</v>
      </c>
      <c r="B43" s="73" t="s">
        <v>563</v>
      </c>
      <c r="C43" s="49" t="s">
        <v>39</v>
      </c>
      <c r="D43" s="93">
        <v>45798</v>
      </c>
      <c r="E43" s="93">
        <v>45809</v>
      </c>
      <c r="F43" s="381" t="s">
        <v>587</v>
      </c>
      <c r="G43" s="56"/>
      <c r="H43" s="104" t="s">
        <v>84</v>
      </c>
    </row>
    <row r="44" spans="1:8" ht="55.5" customHeight="1">
      <c r="A44" s="48" t="s">
        <v>632</v>
      </c>
      <c r="B44" s="73" t="s">
        <v>683</v>
      </c>
      <c r="C44" s="49" t="s">
        <v>39</v>
      </c>
      <c r="D44" s="93">
        <v>45824</v>
      </c>
      <c r="E44" s="93">
        <v>45838</v>
      </c>
      <c r="F44" s="381" t="s">
        <v>633</v>
      </c>
      <c r="G44" s="188" t="s">
        <v>638</v>
      </c>
      <c r="H44" s="315" t="s">
        <v>90</v>
      </c>
    </row>
    <row r="45" spans="1:8" ht="15.5">
      <c r="A45" s="41">
        <v>2</v>
      </c>
      <c r="B45" s="310" t="s">
        <v>564</v>
      </c>
      <c r="C45" s="49"/>
      <c r="D45" s="93"/>
      <c r="E45" s="93"/>
      <c r="F45" s="217"/>
      <c r="G45" s="56"/>
      <c r="H45" s="37"/>
    </row>
    <row r="46" spans="1:8" s="52" customFormat="1" ht="115.5" customHeight="1">
      <c r="A46" s="44" t="s">
        <v>567</v>
      </c>
      <c r="B46" s="217" t="s">
        <v>566</v>
      </c>
      <c r="C46" s="44" t="s">
        <v>12</v>
      </c>
      <c r="D46" s="186">
        <v>45810</v>
      </c>
      <c r="E46" s="186">
        <v>45838</v>
      </c>
      <c r="F46" s="215" t="s">
        <v>611</v>
      </c>
      <c r="G46" s="312" t="s">
        <v>639</v>
      </c>
      <c r="H46" s="315" t="s">
        <v>90</v>
      </c>
    </row>
    <row r="47" spans="1:8" s="52" customFormat="1" ht="111.75" customHeight="1">
      <c r="A47" s="104">
        <v>3</v>
      </c>
      <c r="B47" s="310" t="s">
        <v>605</v>
      </c>
      <c r="C47" s="44" t="s">
        <v>39</v>
      </c>
      <c r="D47" s="186">
        <v>45781</v>
      </c>
      <c r="E47" s="74"/>
      <c r="F47" s="217" t="s">
        <v>640</v>
      </c>
      <c r="G47" s="217"/>
      <c r="H47" s="216" t="s">
        <v>84</v>
      </c>
    </row>
    <row r="48" spans="1:8" s="52" customFormat="1" ht="87" customHeight="1">
      <c r="A48" s="104">
        <v>4</v>
      </c>
      <c r="B48" s="355" t="s">
        <v>387</v>
      </c>
      <c r="C48" s="44" t="s">
        <v>12</v>
      </c>
      <c r="D48" s="93">
        <v>45810</v>
      </c>
      <c r="E48" s="93">
        <v>45838</v>
      </c>
      <c r="F48" s="217" t="s">
        <v>615</v>
      </c>
      <c r="G48" s="217"/>
      <c r="H48" s="315" t="s">
        <v>90</v>
      </c>
    </row>
    <row r="49" spans="1:8" s="52" customFormat="1" ht="15.5">
      <c r="A49" s="104">
        <v>5</v>
      </c>
      <c r="B49" s="355" t="s">
        <v>609</v>
      </c>
      <c r="C49" s="44"/>
      <c r="D49" s="93"/>
      <c r="E49" s="93"/>
      <c r="F49" s="215"/>
      <c r="G49" s="215"/>
      <c r="H49" s="216"/>
    </row>
    <row r="50" spans="1:8" s="52" customFormat="1" ht="153" customHeight="1">
      <c r="A50" s="44" t="s">
        <v>348</v>
      </c>
      <c r="B50" s="217" t="s">
        <v>607</v>
      </c>
      <c r="C50" s="147" t="s">
        <v>39</v>
      </c>
      <c r="D50" s="93">
        <v>45811</v>
      </c>
      <c r="E50" s="93">
        <v>45828</v>
      </c>
      <c r="F50" s="217" t="s">
        <v>642</v>
      </c>
      <c r="G50" s="193" t="s">
        <v>641</v>
      </c>
      <c r="H50" s="216" t="s">
        <v>84</v>
      </c>
    </row>
    <row r="51" spans="1:8" s="52" customFormat="1" ht="93">
      <c r="A51" s="44" t="s">
        <v>349</v>
      </c>
      <c r="B51" s="217" t="s">
        <v>608</v>
      </c>
      <c r="C51" s="147" t="s">
        <v>39</v>
      </c>
      <c r="D51" s="93">
        <v>45812</v>
      </c>
      <c r="E51" s="93">
        <v>45815</v>
      </c>
      <c r="F51" s="217" t="s">
        <v>643</v>
      </c>
      <c r="G51" s="193" t="s">
        <v>644</v>
      </c>
      <c r="H51" s="216" t="s">
        <v>84</v>
      </c>
    </row>
    <row r="52" spans="1:8" s="52" customFormat="1" ht="15.5">
      <c r="A52" s="36" t="s">
        <v>174</v>
      </c>
      <c r="B52" s="488" t="s">
        <v>177</v>
      </c>
      <c r="C52" s="489"/>
      <c r="D52" s="74"/>
      <c r="E52" s="74"/>
      <c r="F52" s="73"/>
      <c r="G52" s="50"/>
      <c r="H52" s="218"/>
    </row>
    <row r="53" spans="1:8" s="52" customFormat="1" ht="52.5" customHeight="1">
      <c r="A53" s="104">
        <v>1</v>
      </c>
      <c r="B53" s="352" t="s">
        <v>175</v>
      </c>
      <c r="C53" s="490"/>
      <c r="D53" s="491"/>
      <c r="E53" s="491"/>
      <c r="F53" s="491"/>
      <c r="G53" s="491"/>
      <c r="H53" s="491"/>
    </row>
    <row r="54" spans="1:8" s="52" customFormat="1" ht="52.5" customHeight="1">
      <c r="A54" s="41">
        <v>2</v>
      </c>
      <c r="B54" s="356" t="s">
        <v>176</v>
      </c>
      <c r="C54" s="490"/>
      <c r="D54" s="491"/>
      <c r="E54" s="491"/>
      <c r="F54" s="491"/>
      <c r="G54" s="491"/>
      <c r="H54" s="491"/>
    </row>
    <row r="55" spans="1:8" ht="15.5">
      <c r="A55" s="113" t="s">
        <v>634</v>
      </c>
      <c r="B55" s="357"/>
      <c r="C55" s="114"/>
      <c r="D55" s="324"/>
      <c r="E55" s="324"/>
      <c r="F55" s="357"/>
      <c r="G55" s="114"/>
      <c r="H55" s="201"/>
    </row>
    <row r="56" spans="1:8" ht="15" customHeight="1">
      <c r="A56" s="437" t="s">
        <v>2</v>
      </c>
      <c r="B56" s="485" t="s">
        <v>3</v>
      </c>
      <c r="C56" s="444" t="s">
        <v>4</v>
      </c>
      <c r="D56" s="443" t="s">
        <v>5</v>
      </c>
      <c r="E56" s="443"/>
      <c r="F56" s="437" t="s">
        <v>111</v>
      </c>
      <c r="G56" s="437"/>
      <c r="H56" s="449" t="s">
        <v>66</v>
      </c>
    </row>
    <row r="57" spans="1:8" ht="15" customHeight="1">
      <c r="A57" s="437"/>
      <c r="B57" s="485"/>
      <c r="C57" s="444"/>
      <c r="D57" s="195" t="s">
        <v>8</v>
      </c>
      <c r="E57" s="195" t="s">
        <v>9</v>
      </c>
      <c r="F57" s="437"/>
      <c r="G57" s="437"/>
      <c r="H57" s="450"/>
    </row>
    <row r="58" spans="1:8" ht="15.5">
      <c r="A58" s="35" t="s">
        <v>10</v>
      </c>
      <c r="B58" s="358" t="s">
        <v>417</v>
      </c>
      <c r="C58" s="44"/>
      <c r="D58" s="322"/>
      <c r="E58" s="322"/>
      <c r="F58" s="426"/>
      <c r="G58" s="426"/>
      <c r="H58" s="44"/>
    </row>
    <row r="59" spans="1:8" s="52" customFormat="1" ht="48.75" customHeight="1">
      <c r="A59" s="44">
        <v>1</v>
      </c>
      <c r="B59" s="73" t="s">
        <v>656</v>
      </c>
      <c r="C59" s="44" t="s">
        <v>12</v>
      </c>
      <c r="D59" s="93">
        <v>45858</v>
      </c>
      <c r="E59" s="93">
        <v>45863</v>
      </c>
      <c r="F59" s="424" t="s">
        <v>383</v>
      </c>
      <c r="G59" s="425"/>
      <c r="H59" s="198"/>
    </row>
    <row r="60" spans="1:8" s="52" customFormat="1" ht="15.5">
      <c r="A60" s="44">
        <v>2</v>
      </c>
      <c r="B60" s="73" t="s">
        <v>30</v>
      </c>
      <c r="C60" s="44" t="s">
        <v>12</v>
      </c>
      <c r="D60" s="93">
        <v>45858</v>
      </c>
      <c r="E60" s="93">
        <v>45863</v>
      </c>
      <c r="F60" s="424" t="s">
        <v>384</v>
      </c>
      <c r="G60" s="425"/>
      <c r="H60" s="198"/>
    </row>
    <row r="61" spans="1:8" s="52" customFormat="1" ht="31">
      <c r="A61" s="44">
        <v>3</v>
      </c>
      <c r="B61" s="73" t="s">
        <v>31</v>
      </c>
      <c r="C61" s="44" t="s">
        <v>12</v>
      </c>
      <c r="D61" s="93">
        <v>45858</v>
      </c>
      <c r="E61" s="93">
        <v>45863</v>
      </c>
      <c r="F61" s="424" t="s">
        <v>384</v>
      </c>
      <c r="G61" s="425"/>
      <c r="H61" s="198"/>
    </row>
    <row r="62" spans="1:8" s="52" customFormat="1" ht="15.5">
      <c r="A62" s="44">
        <v>4</v>
      </c>
      <c r="B62" s="214" t="s">
        <v>381</v>
      </c>
      <c r="C62" s="44" t="s">
        <v>12</v>
      </c>
      <c r="D62" s="93">
        <v>45833</v>
      </c>
      <c r="E62" s="93">
        <v>45838</v>
      </c>
      <c r="F62" s="424" t="s">
        <v>658</v>
      </c>
      <c r="G62" s="425"/>
      <c r="H62" s="198"/>
    </row>
    <row r="63" spans="1:8" s="52" customFormat="1" ht="15.5">
      <c r="A63" s="44">
        <v>5</v>
      </c>
      <c r="B63" s="214" t="s">
        <v>382</v>
      </c>
      <c r="C63" s="44" t="s">
        <v>12</v>
      </c>
      <c r="D63" s="93">
        <v>45833</v>
      </c>
      <c r="E63" s="93">
        <v>45848</v>
      </c>
      <c r="F63" s="424" t="s">
        <v>385</v>
      </c>
      <c r="G63" s="425"/>
      <c r="H63" s="198"/>
    </row>
    <row r="64" spans="1:8" ht="15.5">
      <c r="A64" s="35" t="s">
        <v>13</v>
      </c>
      <c r="B64" s="353" t="s">
        <v>418</v>
      </c>
      <c r="C64" s="50"/>
      <c r="D64" s="323"/>
      <c r="E64" s="323"/>
      <c r="F64" s="426"/>
      <c r="G64" s="426"/>
      <c r="H64" s="44"/>
    </row>
    <row r="65" spans="1:8" ht="19.5" customHeight="1">
      <c r="A65" s="35">
        <v>1</v>
      </c>
      <c r="B65" s="353" t="s">
        <v>554</v>
      </c>
      <c r="C65" s="50"/>
      <c r="D65" s="323"/>
      <c r="E65" s="323"/>
      <c r="F65" s="380"/>
      <c r="G65" s="196"/>
      <c r="H65" s="44"/>
    </row>
    <row r="66" spans="1:8" ht="86.25" customHeight="1">
      <c r="A66" s="44" t="s">
        <v>552</v>
      </c>
      <c r="B66" s="214" t="s">
        <v>650</v>
      </c>
      <c r="C66" s="44" t="s">
        <v>39</v>
      </c>
      <c r="D66" s="93">
        <v>45838</v>
      </c>
      <c r="E66" s="93">
        <v>45899</v>
      </c>
      <c r="F66" s="422" t="s">
        <v>652</v>
      </c>
      <c r="G66" s="479"/>
      <c r="H66" s="44"/>
    </row>
    <row r="67" spans="1:8" ht="45" customHeight="1">
      <c r="A67" s="44" t="s">
        <v>553</v>
      </c>
      <c r="B67" s="73" t="s">
        <v>649</v>
      </c>
      <c r="C67" s="44" t="s">
        <v>39</v>
      </c>
      <c r="D67" s="93">
        <v>45838</v>
      </c>
      <c r="E67" s="93"/>
      <c r="F67" s="422" t="s">
        <v>651</v>
      </c>
      <c r="G67" s="479"/>
      <c r="H67" s="44"/>
    </row>
    <row r="68" spans="1:8" ht="75" customHeight="1">
      <c r="A68" s="44" t="s">
        <v>555</v>
      </c>
      <c r="B68" s="73" t="s">
        <v>654</v>
      </c>
      <c r="C68" s="44" t="s">
        <v>39</v>
      </c>
      <c r="D68" s="93">
        <v>45829</v>
      </c>
      <c r="E68" s="93">
        <v>45858</v>
      </c>
      <c r="F68" s="422" t="s">
        <v>651</v>
      </c>
      <c r="G68" s="479"/>
      <c r="H68" s="44"/>
    </row>
    <row r="69" spans="1:8" ht="15.5">
      <c r="A69" s="104">
        <v>2</v>
      </c>
      <c r="B69" s="310" t="s">
        <v>564</v>
      </c>
      <c r="C69" s="49"/>
      <c r="D69" s="93"/>
      <c r="E69" s="93"/>
      <c r="F69" s="217"/>
      <c r="G69" s="56"/>
      <c r="H69" s="37"/>
    </row>
    <row r="70" spans="1:8" s="52" customFormat="1" ht="75.75" customHeight="1">
      <c r="A70" s="44" t="s">
        <v>567</v>
      </c>
      <c r="B70" s="217" t="s">
        <v>575</v>
      </c>
      <c r="C70" s="44" t="s">
        <v>12</v>
      </c>
      <c r="D70" s="93">
        <v>45779</v>
      </c>
      <c r="E70" s="93">
        <v>45797</v>
      </c>
      <c r="F70" s="424" t="s">
        <v>568</v>
      </c>
      <c r="G70" s="425"/>
      <c r="H70" s="216"/>
    </row>
    <row r="71" spans="1:8" ht="30">
      <c r="A71" s="104">
        <v>3</v>
      </c>
      <c r="B71" s="355" t="s">
        <v>653</v>
      </c>
      <c r="C71" s="44" t="s">
        <v>12</v>
      </c>
      <c r="D71" s="93">
        <v>45828</v>
      </c>
      <c r="E71" s="93">
        <v>45858</v>
      </c>
      <c r="F71" s="422" t="s">
        <v>645</v>
      </c>
      <c r="G71" s="479"/>
      <c r="H71" s="198">
        <v>153000000</v>
      </c>
    </row>
    <row r="72" spans="1:8" ht="54" customHeight="1">
      <c r="A72" s="104">
        <v>4</v>
      </c>
      <c r="B72" s="355" t="s">
        <v>647</v>
      </c>
      <c r="C72" s="44" t="s">
        <v>12</v>
      </c>
      <c r="D72" s="93">
        <v>45829</v>
      </c>
      <c r="E72" s="93">
        <v>45858</v>
      </c>
      <c r="F72" s="424" t="s">
        <v>646</v>
      </c>
      <c r="G72" s="425"/>
      <c r="H72" s="44"/>
    </row>
    <row r="73" spans="1:8" ht="54" customHeight="1">
      <c r="A73" s="104">
        <v>5</v>
      </c>
      <c r="B73" s="355" t="s">
        <v>648</v>
      </c>
      <c r="C73" s="44" t="s">
        <v>12</v>
      </c>
      <c r="D73" s="93">
        <v>45829</v>
      </c>
      <c r="E73" s="93">
        <v>45858</v>
      </c>
      <c r="F73" s="424" t="s">
        <v>646</v>
      </c>
      <c r="G73" s="425"/>
      <c r="H73" s="44"/>
    </row>
    <row r="74" spans="1:8" ht="15.5">
      <c r="A74" s="132"/>
      <c r="B74" s="359"/>
      <c r="C74" s="134"/>
      <c r="D74" s="74"/>
      <c r="E74" s="74"/>
      <c r="F74" s="382"/>
      <c r="G74" s="136"/>
      <c r="H74" s="199"/>
    </row>
    <row r="75" spans="1:8" ht="30.75" customHeight="1">
      <c r="A75" s="469" t="s">
        <v>23</v>
      </c>
      <c r="B75" s="469"/>
      <c r="C75" s="469"/>
      <c r="D75" s="469"/>
      <c r="E75" s="469"/>
      <c r="F75" s="469"/>
      <c r="G75" s="469"/>
      <c r="H75" s="470"/>
    </row>
    <row r="76" spans="1:8" ht="15">
      <c r="A76" s="478" t="s">
        <v>478</v>
      </c>
      <c r="B76" s="478"/>
      <c r="C76" s="478"/>
      <c r="D76" s="478"/>
      <c r="E76" s="478"/>
      <c r="F76" s="478"/>
      <c r="G76" s="478"/>
      <c r="H76" s="478"/>
    </row>
    <row r="77" spans="1:8" s="34" customFormat="1" ht="15.5">
      <c r="A77" s="455" t="s">
        <v>2</v>
      </c>
      <c r="B77" s="472" t="s">
        <v>3</v>
      </c>
      <c r="C77" s="455" t="s">
        <v>4</v>
      </c>
      <c r="D77" s="473" t="s">
        <v>5</v>
      </c>
      <c r="E77" s="473"/>
      <c r="F77" s="472" t="s">
        <v>6</v>
      </c>
      <c r="G77" s="455" t="s">
        <v>7</v>
      </c>
      <c r="H77" s="455" t="s">
        <v>392</v>
      </c>
    </row>
    <row r="78" spans="1:8" s="34" customFormat="1" ht="15.5">
      <c r="A78" s="455"/>
      <c r="B78" s="472"/>
      <c r="C78" s="455"/>
      <c r="D78" s="82" t="s">
        <v>8</v>
      </c>
      <c r="E78" s="82" t="s">
        <v>9</v>
      </c>
      <c r="F78" s="472"/>
      <c r="G78" s="455"/>
      <c r="H78" s="455"/>
    </row>
    <row r="79" spans="1:8" s="52" customFormat="1" ht="39" customHeight="1">
      <c r="A79" s="212" t="s">
        <v>10</v>
      </c>
      <c r="B79" s="360" t="s">
        <v>417</v>
      </c>
      <c r="C79" s="213"/>
      <c r="D79" s="325"/>
      <c r="E79" s="325"/>
      <c r="F79" s="360"/>
      <c r="G79" s="209"/>
      <c r="H79" s="211"/>
    </row>
    <row r="80" spans="1:8" s="52" customFormat="1" ht="15.5" hidden="1">
      <c r="A80" s="41">
        <v>1</v>
      </c>
      <c r="B80" s="73" t="s">
        <v>405</v>
      </c>
      <c r="C80" s="63" t="s">
        <v>12</v>
      </c>
      <c r="D80" s="93">
        <v>45768</v>
      </c>
      <c r="E80" s="93">
        <v>45768</v>
      </c>
      <c r="F80" s="214" t="s">
        <v>406</v>
      </c>
      <c r="G80" s="50" t="s">
        <v>70</v>
      </c>
      <c r="H80" s="66" t="s">
        <v>84</v>
      </c>
    </row>
    <row r="81" spans="1:8" s="52" customFormat="1" ht="16.5" hidden="1" customHeight="1">
      <c r="A81" s="41">
        <v>2</v>
      </c>
      <c r="B81" s="73" t="s">
        <v>407</v>
      </c>
      <c r="C81" s="49" t="s">
        <v>12</v>
      </c>
      <c r="D81" s="93">
        <v>45770</v>
      </c>
      <c r="E81" s="93">
        <v>45770</v>
      </c>
      <c r="F81" s="73" t="s">
        <v>406</v>
      </c>
      <c r="G81" s="50" t="s">
        <v>70</v>
      </c>
      <c r="H81" s="64" t="s">
        <v>84</v>
      </c>
    </row>
    <row r="82" spans="1:8" s="52" customFormat="1" ht="46.5" hidden="1">
      <c r="A82" s="41">
        <v>3</v>
      </c>
      <c r="B82" s="214" t="s">
        <v>408</v>
      </c>
      <c r="C82" s="49" t="s">
        <v>12</v>
      </c>
      <c r="D82" s="93">
        <v>45767</v>
      </c>
      <c r="E82" s="93">
        <v>45770</v>
      </c>
      <c r="F82" s="354" t="s">
        <v>421</v>
      </c>
      <c r="G82" s="50" t="s">
        <v>70</v>
      </c>
      <c r="H82" s="64" t="s">
        <v>84</v>
      </c>
    </row>
    <row r="83" spans="1:8" s="52" customFormat="1" ht="39" hidden="1" customHeight="1">
      <c r="A83" s="207">
        <v>4</v>
      </c>
      <c r="B83" s="361" t="s">
        <v>413</v>
      </c>
      <c r="C83" s="208"/>
      <c r="D83" s="326"/>
      <c r="E83" s="326"/>
      <c r="F83" s="361"/>
      <c r="G83" s="209"/>
      <c r="H83" s="211" t="s">
        <v>84</v>
      </c>
    </row>
    <row r="84" spans="1:8" s="52" customFormat="1" ht="50.25" hidden="1" customHeight="1">
      <c r="A84" s="48" t="s">
        <v>346</v>
      </c>
      <c r="B84" s="73" t="s">
        <v>414</v>
      </c>
      <c r="C84" s="49" t="s">
        <v>39</v>
      </c>
      <c r="D84" s="93">
        <v>45783</v>
      </c>
      <c r="E84" s="93">
        <v>45791</v>
      </c>
      <c r="F84" s="217" t="s">
        <v>419</v>
      </c>
      <c r="G84" s="50" t="s">
        <v>70</v>
      </c>
      <c r="H84" s="64"/>
    </row>
    <row r="85" spans="1:8" s="52" customFormat="1" ht="35.25" hidden="1" customHeight="1">
      <c r="A85" s="207">
        <v>5</v>
      </c>
      <c r="B85" s="361" t="s">
        <v>409</v>
      </c>
      <c r="C85" s="208"/>
      <c r="D85" s="326"/>
      <c r="E85" s="326"/>
      <c r="F85" s="361"/>
      <c r="G85" s="209"/>
      <c r="H85" s="211" t="s">
        <v>84</v>
      </c>
    </row>
    <row r="86" spans="1:8" s="52" customFormat="1" ht="48.75" hidden="1" customHeight="1">
      <c r="A86" s="48" t="s">
        <v>348</v>
      </c>
      <c r="B86" s="73" t="s">
        <v>415</v>
      </c>
      <c r="C86" s="49" t="s">
        <v>12</v>
      </c>
      <c r="D86" s="93">
        <v>45787</v>
      </c>
      <c r="E86" s="93">
        <v>45790</v>
      </c>
      <c r="F86" s="217" t="s">
        <v>477</v>
      </c>
      <c r="G86" s="50" t="s">
        <v>70</v>
      </c>
      <c r="H86" s="64"/>
    </row>
    <row r="87" spans="1:8" s="52" customFormat="1" ht="46.5" hidden="1">
      <c r="A87" s="48" t="s">
        <v>349</v>
      </c>
      <c r="B87" s="73" t="s">
        <v>416</v>
      </c>
      <c r="C87" s="49" t="s">
        <v>39</v>
      </c>
      <c r="D87" s="93">
        <v>45780</v>
      </c>
      <c r="E87" s="93">
        <v>45784</v>
      </c>
      <c r="F87" s="217" t="s">
        <v>420</v>
      </c>
      <c r="G87" s="50" t="s">
        <v>70</v>
      </c>
      <c r="H87" s="64"/>
    </row>
    <row r="88" spans="1:8" s="225" customFormat="1" ht="27.75" hidden="1" customHeight="1">
      <c r="A88" s="207">
        <v>6</v>
      </c>
      <c r="B88" s="361" t="s">
        <v>410</v>
      </c>
      <c r="C88" s="208"/>
      <c r="D88" s="326"/>
      <c r="E88" s="326"/>
      <c r="F88" s="361"/>
      <c r="G88" s="209"/>
      <c r="H88" s="210" t="s">
        <v>84</v>
      </c>
    </row>
    <row r="89" spans="1:8" s="52" customFormat="1" ht="15.5" hidden="1">
      <c r="A89" s="48" t="s">
        <v>431</v>
      </c>
      <c r="B89" s="214" t="s">
        <v>430</v>
      </c>
      <c r="C89" s="49" t="s">
        <v>246</v>
      </c>
      <c r="D89" s="93">
        <v>45768</v>
      </c>
      <c r="E89" s="93">
        <v>45768</v>
      </c>
      <c r="F89" s="217" t="s">
        <v>464</v>
      </c>
      <c r="G89" s="50" t="s">
        <v>70</v>
      </c>
      <c r="H89" s="50"/>
    </row>
    <row r="90" spans="1:8" s="52" customFormat="1" ht="31" hidden="1">
      <c r="A90" s="48" t="s">
        <v>435</v>
      </c>
      <c r="B90" s="73" t="s">
        <v>430</v>
      </c>
      <c r="C90" s="43" t="s">
        <v>246</v>
      </c>
      <c r="D90" s="93">
        <v>45776</v>
      </c>
      <c r="E90" s="93">
        <v>45776</v>
      </c>
      <c r="F90" s="217" t="s">
        <v>463</v>
      </c>
      <c r="G90" s="45" t="s">
        <v>465</v>
      </c>
      <c r="H90" s="50"/>
    </row>
    <row r="91" spans="1:8" s="52" customFormat="1" ht="31" hidden="1">
      <c r="A91" s="48" t="s">
        <v>436</v>
      </c>
      <c r="B91" s="73" t="s">
        <v>434</v>
      </c>
      <c r="C91" s="43" t="s">
        <v>246</v>
      </c>
      <c r="D91" s="93">
        <v>45779</v>
      </c>
      <c r="E91" s="93">
        <v>45779</v>
      </c>
      <c r="F91" s="354" t="s">
        <v>462</v>
      </c>
      <c r="G91" s="50" t="s">
        <v>70</v>
      </c>
      <c r="H91" s="50"/>
    </row>
    <row r="92" spans="1:8" s="52" customFormat="1" ht="31" hidden="1">
      <c r="A92" s="48" t="s">
        <v>437</v>
      </c>
      <c r="B92" s="73" t="s">
        <v>442</v>
      </c>
      <c r="C92" s="43" t="s">
        <v>246</v>
      </c>
      <c r="D92" s="93">
        <v>45789</v>
      </c>
      <c r="E92" s="93">
        <v>45789</v>
      </c>
      <c r="F92" s="217" t="s">
        <v>461</v>
      </c>
      <c r="G92" s="50" t="s">
        <v>70</v>
      </c>
      <c r="H92" s="50"/>
    </row>
    <row r="93" spans="1:8" s="52" customFormat="1" ht="62" hidden="1">
      <c r="A93" s="48" t="s">
        <v>438</v>
      </c>
      <c r="B93" s="73" t="s">
        <v>443</v>
      </c>
      <c r="C93" s="43" t="s">
        <v>246</v>
      </c>
      <c r="D93" s="93">
        <v>45789</v>
      </c>
      <c r="E93" s="93">
        <v>45792</v>
      </c>
      <c r="F93" s="217" t="s">
        <v>460</v>
      </c>
      <c r="G93" s="45" t="s">
        <v>458</v>
      </c>
      <c r="H93" s="50"/>
    </row>
    <row r="94" spans="1:8" s="52" customFormat="1" ht="62" hidden="1">
      <c r="A94" s="48" t="s">
        <v>444</v>
      </c>
      <c r="B94" s="73" t="s">
        <v>456</v>
      </c>
      <c r="C94" s="43" t="s">
        <v>246</v>
      </c>
      <c r="D94" s="93">
        <v>45791</v>
      </c>
      <c r="E94" s="93">
        <v>45792</v>
      </c>
      <c r="F94" s="217" t="s">
        <v>459</v>
      </c>
      <c r="G94" s="45" t="s">
        <v>457</v>
      </c>
      <c r="H94" s="50"/>
    </row>
    <row r="95" spans="1:8" s="52" customFormat="1" ht="24" hidden="1" customHeight="1">
      <c r="A95" s="207">
        <v>7</v>
      </c>
      <c r="B95" s="361" t="s">
        <v>412</v>
      </c>
      <c r="C95" s="208"/>
      <c r="D95" s="326"/>
      <c r="E95" s="326"/>
      <c r="F95" s="361"/>
      <c r="G95" s="209"/>
      <c r="H95" s="210" t="s">
        <v>84</v>
      </c>
    </row>
    <row r="96" spans="1:8" s="52" customFormat="1" ht="56.25" hidden="1" customHeight="1">
      <c r="A96" s="48" t="s">
        <v>440</v>
      </c>
      <c r="B96" s="73" t="s">
        <v>439</v>
      </c>
      <c r="C96" s="43" t="s">
        <v>246</v>
      </c>
      <c r="D96" s="93">
        <v>45782</v>
      </c>
      <c r="E96" s="93">
        <v>45782</v>
      </c>
      <c r="F96" s="217" t="s">
        <v>466</v>
      </c>
      <c r="G96" s="50" t="s">
        <v>70</v>
      </c>
      <c r="H96" s="50"/>
    </row>
    <row r="97" spans="1:8" s="52" customFormat="1" ht="15.5" hidden="1">
      <c r="A97" s="48" t="s">
        <v>441</v>
      </c>
      <c r="B97" s="214" t="s">
        <v>422</v>
      </c>
      <c r="C97" s="49" t="s">
        <v>246</v>
      </c>
      <c r="D97" s="93">
        <v>45769</v>
      </c>
      <c r="E97" s="93">
        <v>45769</v>
      </c>
      <c r="F97" s="214" t="s">
        <v>406</v>
      </c>
      <c r="G97" s="50" t="s">
        <v>70</v>
      </c>
      <c r="H97" s="44"/>
    </row>
    <row r="98" spans="1:8" s="52" customFormat="1" ht="31" hidden="1">
      <c r="A98" s="48" t="s">
        <v>446</v>
      </c>
      <c r="B98" s="73" t="s">
        <v>445</v>
      </c>
      <c r="C98" s="43" t="s">
        <v>246</v>
      </c>
      <c r="D98" s="93">
        <v>45794</v>
      </c>
      <c r="E98" s="93">
        <v>45794</v>
      </c>
      <c r="F98" s="73" t="s">
        <v>406</v>
      </c>
      <c r="G98" s="50" t="s">
        <v>70</v>
      </c>
      <c r="H98" s="50"/>
    </row>
    <row r="99" spans="1:8" s="52" customFormat="1" ht="31" hidden="1">
      <c r="A99" s="48" t="s">
        <v>451</v>
      </c>
      <c r="B99" s="73" t="s">
        <v>447</v>
      </c>
      <c r="C99" s="43" t="s">
        <v>246</v>
      </c>
      <c r="D99" s="93">
        <v>45796</v>
      </c>
      <c r="E99" s="93">
        <v>45796</v>
      </c>
      <c r="F99" s="73" t="s">
        <v>406</v>
      </c>
      <c r="G99" s="50" t="s">
        <v>70</v>
      </c>
      <c r="H99" s="50"/>
    </row>
    <row r="100" spans="1:8" s="52" customFormat="1" ht="31" hidden="1">
      <c r="A100" s="48" t="s">
        <v>452</v>
      </c>
      <c r="B100" s="73" t="s">
        <v>448</v>
      </c>
      <c r="C100" s="43" t="s">
        <v>246</v>
      </c>
      <c r="D100" s="93">
        <v>45796</v>
      </c>
      <c r="E100" s="93">
        <v>45796</v>
      </c>
      <c r="F100" s="214" t="s">
        <v>406</v>
      </c>
      <c r="G100" s="50" t="s">
        <v>70</v>
      </c>
      <c r="H100" s="50"/>
    </row>
    <row r="101" spans="1:8" s="52" customFormat="1" ht="31" hidden="1">
      <c r="A101" s="48" t="s">
        <v>453</v>
      </c>
      <c r="B101" s="73" t="s">
        <v>449</v>
      </c>
      <c r="C101" s="43" t="s">
        <v>246</v>
      </c>
      <c r="D101" s="93">
        <v>45796</v>
      </c>
      <c r="E101" s="93">
        <v>45796</v>
      </c>
      <c r="F101" s="73" t="s">
        <v>406</v>
      </c>
      <c r="G101" s="50" t="s">
        <v>70</v>
      </c>
      <c r="H101" s="50"/>
    </row>
    <row r="102" spans="1:8" s="52" customFormat="1" ht="15.5" hidden="1">
      <c r="A102" s="48" t="s">
        <v>454</v>
      </c>
      <c r="B102" s="73" t="s">
        <v>450</v>
      </c>
      <c r="C102" s="43" t="s">
        <v>246</v>
      </c>
      <c r="D102" s="93">
        <v>45796</v>
      </c>
      <c r="E102" s="93">
        <v>45796</v>
      </c>
      <c r="F102" s="73" t="s">
        <v>406</v>
      </c>
      <c r="G102" s="50" t="s">
        <v>70</v>
      </c>
      <c r="H102" s="50"/>
    </row>
    <row r="103" spans="1:8" s="52" customFormat="1" ht="21.75" hidden="1" customHeight="1">
      <c r="A103" s="48" t="s">
        <v>474</v>
      </c>
      <c r="B103" s="73" t="s">
        <v>475</v>
      </c>
      <c r="C103" s="43" t="s">
        <v>246</v>
      </c>
      <c r="D103" s="93">
        <v>45797</v>
      </c>
      <c r="E103" s="93">
        <v>45797</v>
      </c>
      <c r="F103" s="217" t="s">
        <v>476</v>
      </c>
      <c r="G103" s="50" t="s">
        <v>70</v>
      </c>
      <c r="H103" s="50"/>
    </row>
    <row r="104" spans="1:8" s="225" customFormat="1" ht="30.75" hidden="1" customHeight="1">
      <c r="A104" s="207">
        <v>8</v>
      </c>
      <c r="B104" s="361" t="s">
        <v>411</v>
      </c>
      <c r="C104" s="208"/>
      <c r="D104" s="326"/>
      <c r="E104" s="326"/>
      <c r="F104" s="361"/>
      <c r="G104" s="209"/>
      <c r="H104" s="210" t="s">
        <v>84</v>
      </c>
    </row>
    <row r="105" spans="1:8" s="52" customFormat="1" ht="31" hidden="1">
      <c r="A105" s="48" t="s">
        <v>424</v>
      </c>
      <c r="B105" s="73" t="s">
        <v>423</v>
      </c>
      <c r="C105" s="43" t="s">
        <v>246</v>
      </c>
      <c r="D105" s="93">
        <v>45782</v>
      </c>
      <c r="E105" s="93">
        <v>45782</v>
      </c>
      <c r="F105" s="73" t="s">
        <v>406</v>
      </c>
      <c r="G105" s="50" t="s">
        <v>70</v>
      </c>
      <c r="H105" s="50"/>
    </row>
    <row r="106" spans="1:8" s="52" customFormat="1" ht="15.5" hidden="1">
      <c r="A106" s="48" t="s">
        <v>426</v>
      </c>
      <c r="B106" s="73" t="s">
        <v>425</v>
      </c>
      <c r="C106" s="43" t="s">
        <v>246</v>
      </c>
      <c r="D106" s="93">
        <v>45783</v>
      </c>
      <c r="E106" s="93">
        <v>45783</v>
      </c>
      <c r="F106" s="73" t="s">
        <v>406</v>
      </c>
      <c r="G106" s="50" t="s">
        <v>70</v>
      </c>
      <c r="H106" s="50"/>
    </row>
    <row r="107" spans="1:8" s="52" customFormat="1" ht="62" hidden="1">
      <c r="A107" s="48" t="s">
        <v>428</v>
      </c>
      <c r="B107" s="73" t="s">
        <v>427</v>
      </c>
      <c r="C107" s="43" t="s">
        <v>246</v>
      </c>
      <c r="D107" s="93">
        <v>45785</v>
      </c>
      <c r="E107" s="93">
        <v>45785</v>
      </c>
      <c r="F107" s="217" t="s">
        <v>467</v>
      </c>
      <c r="G107" s="50" t="s">
        <v>70</v>
      </c>
      <c r="H107" s="50"/>
    </row>
    <row r="108" spans="1:8" s="225" customFormat="1" ht="30.75" hidden="1" customHeight="1">
      <c r="A108" s="207">
        <v>9</v>
      </c>
      <c r="B108" s="361" t="s">
        <v>429</v>
      </c>
      <c r="C108" s="208"/>
      <c r="D108" s="326"/>
      <c r="E108" s="326"/>
      <c r="F108" s="361"/>
      <c r="G108" s="209"/>
      <c r="H108" s="210" t="s">
        <v>84</v>
      </c>
    </row>
    <row r="109" spans="1:8" s="241" customFormat="1" ht="62" hidden="1">
      <c r="A109" s="238" t="s">
        <v>433</v>
      </c>
      <c r="B109" s="343" t="s">
        <v>432</v>
      </c>
      <c r="C109" s="242" t="s">
        <v>246</v>
      </c>
      <c r="D109" s="239">
        <v>45775</v>
      </c>
      <c r="E109" s="239">
        <v>45775</v>
      </c>
      <c r="F109" s="383" t="s">
        <v>470</v>
      </c>
      <c r="G109" s="243" t="s">
        <v>576</v>
      </c>
      <c r="H109" s="244"/>
    </row>
    <row r="110" spans="1:8" s="52" customFormat="1" ht="31" hidden="1">
      <c r="A110" s="44" t="s">
        <v>455</v>
      </c>
      <c r="B110" s="73" t="s">
        <v>468</v>
      </c>
      <c r="C110" s="43" t="s">
        <v>246</v>
      </c>
      <c r="D110" s="93">
        <v>45793</v>
      </c>
      <c r="E110" s="93">
        <v>45793</v>
      </c>
      <c r="F110" s="73" t="s">
        <v>406</v>
      </c>
      <c r="G110" s="50" t="s">
        <v>70</v>
      </c>
      <c r="H110" s="50"/>
    </row>
    <row r="111" spans="1:8" s="52" customFormat="1" ht="31" hidden="1">
      <c r="A111" s="44" t="s">
        <v>455</v>
      </c>
      <c r="B111" s="73" t="s">
        <v>469</v>
      </c>
      <c r="C111" s="43" t="s">
        <v>246</v>
      </c>
      <c r="D111" s="93">
        <v>45793</v>
      </c>
      <c r="E111" s="93">
        <v>45793</v>
      </c>
      <c r="F111" s="73" t="s">
        <v>406</v>
      </c>
      <c r="G111" s="50" t="s">
        <v>70</v>
      </c>
      <c r="H111" s="50"/>
    </row>
    <row r="112" spans="1:8" s="225" customFormat="1" ht="30.75" hidden="1" customHeight="1">
      <c r="A112" s="207" t="s">
        <v>13</v>
      </c>
      <c r="B112" s="361" t="s">
        <v>579</v>
      </c>
      <c r="C112" s="208"/>
      <c r="D112" s="326"/>
      <c r="E112" s="326"/>
      <c r="F112" s="361"/>
      <c r="G112" s="209"/>
      <c r="H112" s="210"/>
    </row>
    <row r="113" spans="1:8" s="241" customFormat="1" ht="124" hidden="1">
      <c r="A113" s="238">
        <v>1</v>
      </c>
      <c r="B113" s="362" t="s">
        <v>361</v>
      </c>
      <c r="C113" s="238" t="s">
        <v>12</v>
      </c>
      <c r="D113" s="239">
        <v>45779</v>
      </c>
      <c r="E113" s="239">
        <v>45797</v>
      </c>
      <c r="F113" s="215" t="s">
        <v>561</v>
      </c>
      <c r="G113" s="193" t="s">
        <v>378</v>
      </c>
      <c r="H113" s="238" t="s">
        <v>394</v>
      </c>
    </row>
    <row r="114" spans="1:8" ht="31" hidden="1">
      <c r="A114" s="44">
        <v>2</v>
      </c>
      <c r="B114" s="214" t="s">
        <v>254</v>
      </c>
      <c r="C114" s="44" t="s">
        <v>39</v>
      </c>
      <c r="D114" s="93"/>
      <c r="E114" s="93"/>
      <c r="F114" s="384" t="s">
        <v>400</v>
      </c>
      <c r="G114" s="50" t="s">
        <v>70</v>
      </c>
      <c r="H114" s="50"/>
    </row>
    <row r="115" spans="1:8" s="52" customFormat="1" ht="46.5" hidden="1">
      <c r="A115" s="44">
        <v>3</v>
      </c>
      <c r="B115" s="73" t="s">
        <v>138</v>
      </c>
      <c r="C115" s="49" t="s">
        <v>39</v>
      </c>
      <c r="D115" s="93"/>
      <c r="E115" s="93"/>
      <c r="F115" s="385" t="s">
        <v>253</v>
      </c>
      <c r="G115" s="50" t="s">
        <v>70</v>
      </c>
      <c r="H115" s="50"/>
    </row>
    <row r="116" spans="1:8" s="52" customFormat="1" ht="15.5" hidden="1">
      <c r="A116" s="36" t="s">
        <v>174</v>
      </c>
      <c r="B116" s="358" t="s">
        <v>173</v>
      </c>
      <c r="C116" s="49"/>
      <c r="D116" s="74"/>
      <c r="E116" s="74"/>
      <c r="F116" s="73"/>
      <c r="G116" s="50"/>
      <c r="H116" s="218"/>
    </row>
    <row r="117" spans="1:8" s="52" customFormat="1" ht="40.5" hidden="1" customHeight="1">
      <c r="A117" s="104">
        <v>1</v>
      </c>
      <c r="B117" s="352" t="s">
        <v>182</v>
      </c>
      <c r="C117" s="435" t="s">
        <v>557</v>
      </c>
      <c r="D117" s="435"/>
      <c r="E117" s="435"/>
      <c r="F117" s="435"/>
      <c r="G117" s="435"/>
      <c r="H117" s="435"/>
    </row>
    <row r="118" spans="1:8" s="52" customFormat="1" ht="15.5" hidden="1">
      <c r="A118" s="104">
        <v>2</v>
      </c>
      <c r="B118" s="358" t="s">
        <v>183</v>
      </c>
      <c r="C118" s="426" t="s">
        <v>185</v>
      </c>
      <c r="D118" s="426"/>
      <c r="E118" s="426"/>
      <c r="F118" s="426"/>
      <c r="G118" s="426"/>
      <c r="H118" s="426"/>
    </row>
    <row r="119" spans="1:8" s="52" customFormat="1" ht="15" hidden="1">
      <c r="A119" s="105"/>
      <c r="B119" s="351"/>
      <c r="C119" s="107"/>
      <c r="D119" s="107"/>
      <c r="E119" s="107"/>
      <c r="F119" s="351"/>
      <c r="G119" s="107"/>
      <c r="H119" s="200"/>
    </row>
    <row r="120" spans="1:8" ht="15.5" hidden="1">
      <c r="A120" s="113" t="s">
        <v>480</v>
      </c>
      <c r="B120" s="357"/>
      <c r="C120" s="114"/>
      <c r="D120" s="324"/>
      <c r="E120" s="324"/>
      <c r="F120" s="357"/>
      <c r="G120" s="114"/>
      <c r="H120" s="201"/>
    </row>
    <row r="121" spans="1:8" hidden="1">
      <c r="A121" s="471" t="s">
        <v>2</v>
      </c>
      <c r="B121" s="472" t="s">
        <v>3</v>
      </c>
      <c r="C121" s="455" t="s">
        <v>4</v>
      </c>
      <c r="D121" s="473" t="s">
        <v>5</v>
      </c>
      <c r="E121" s="473"/>
      <c r="F121" s="471" t="s">
        <v>111</v>
      </c>
      <c r="G121" s="471"/>
      <c r="H121" s="455" t="s">
        <v>66</v>
      </c>
    </row>
    <row r="122" spans="1:8" hidden="1">
      <c r="A122" s="471"/>
      <c r="B122" s="472"/>
      <c r="C122" s="455"/>
      <c r="D122" s="82" t="s">
        <v>8</v>
      </c>
      <c r="E122" s="82" t="s">
        <v>9</v>
      </c>
      <c r="F122" s="471"/>
      <c r="G122" s="471"/>
      <c r="H122" s="455"/>
    </row>
    <row r="123" spans="1:8" ht="15.5" hidden="1">
      <c r="A123" s="68" t="s">
        <v>10</v>
      </c>
      <c r="B123" s="363" t="s">
        <v>11</v>
      </c>
      <c r="C123" s="57"/>
      <c r="D123" s="327"/>
      <c r="E123" s="327"/>
      <c r="F123" s="474" t="s">
        <v>112</v>
      </c>
      <c r="G123" s="474"/>
      <c r="H123" s="57"/>
    </row>
    <row r="124" spans="1:8" ht="46.5" hidden="1">
      <c r="A124" s="48">
        <v>1</v>
      </c>
      <c r="B124" s="73" t="s">
        <v>138</v>
      </c>
      <c r="C124" s="44" t="s">
        <v>12</v>
      </c>
      <c r="D124" s="93">
        <v>45818</v>
      </c>
      <c r="E124" s="93">
        <v>45828</v>
      </c>
      <c r="F124" s="436" t="s">
        <v>479</v>
      </c>
      <c r="G124" s="423"/>
      <c r="H124" s="44"/>
    </row>
    <row r="125" spans="1:8" ht="31" hidden="1">
      <c r="A125" s="44">
        <v>2</v>
      </c>
      <c r="B125" s="364" t="s">
        <v>471</v>
      </c>
      <c r="C125" s="44" t="s">
        <v>12</v>
      </c>
      <c r="D125" s="93">
        <v>45797</v>
      </c>
      <c r="E125" s="93">
        <v>45807</v>
      </c>
      <c r="F125" s="428"/>
      <c r="G125" s="429"/>
      <c r="H125" s="44"/>
    </row>
    <row r="126" spans="1:8" ht="15.5" hidden="1">
      <c r="A126" s="48">
        <v>3</v>
      </c>
      <c r="B126" s="364" t="s">
        <v>472</v>
      </c>
      <c r="C126" s="44" t="s">
        <v>12</v>
      </c>
      <c r="D126" s="93">
        <v>45797</v>
      </c>
      <c r="E126" s="93">
        <v>45807</v>
      </c>
      <c r="F126" s="428"/>
      <c r="G126" s="429"/>
      <c r="H126" s="44"/>
    </row>
    <row r="127" spans="1:8" s="52" customFormat="1" ht="36.75" hidden="1" customHeight="1">
      <c r="A127" s="44">
        <v>4</v>
      </c>
      <c r="B127" s="364" t="s">
        <v>481</v>
      </c>
      <c r="C127" s="44" t="s">
        <v>483</v>
      </c>
      <c r="D127" s="93">
        <v>45803</v>
      </c>
      <c r="E127" s="93">
        <v>45807</v>
      </c>
      <c r="F127" s="424" t="s">
        <v>486</v>
      </c>
      <c r="G127" s="427"/>
      <c r="H127" s="37"/>
    </row>
    <row r="128" spans="1:8" s="52" customFormat="1" ht="36.75" hidden="1" customHeight="1">
      <c r="A128" s="48">
        <v>5</v>
      </c>
      <c r="B128" s="73" t="s">
        <v>482</v>
      </c>
      <c r="C128" s="44" t="s">
        <v>483</v>
      </c>
      <c r="D128" s="93">
        <v>45810</v>
      </c>
      <c r="E128" s="93">
        <v>45818</v>
      </c>
      <c r="F128" s="475" t="s">
        <v>487</v>
      </c>
      <c r="G128" s="433"/>
      <c r="H128" s="37"/>
    </row>
    <row r="129" spans="1:8" s="52" customFormat="1" ht="31" hidden="1">
      <c r="A129" s="44">
        <v>6</v>
      </c>
      <c r="B129" s="73" t="s">
        <v>473</v>
      </c>
      <c r="C129" s="44" t="s">
        <v>483</v>
      </c>
      <c r="D129" s="93">
        <v>45810</v>
      </c>
      <c r="E129" s="93">
        <v>45818</v>
      </c>
      <c r="F129" s="476" t="s">
        <v>485</v>
      </c>
      <c r="G129" s="477"/>
      <c r="H129" s="50"/>
    </row>
    <row r="130" spans="1:8" ht="39.75" hidden="1" customHeight="1">
      <c r="A130" s="48">
        <v>7</v>
      </c>
      <c r="B130" s="214" t="s">
        <v>528</v>
      </c>
      <c r="C130" s="44" t="s">
        <v>12</v>
      </c>
      <c r="D130" s="87" t="s">
        <v>68</v>
      </c>
      <c r="E130" s="87" t="s">
        <v>68</v>
      </c>
      <c r="F130" s="430" t="s">
        <v>580</v>
      </c>
      <c r="G130" s="431"/>
      <c r="H130" s="44"/>
    </row>
    <row r="131" spans="1:8" ht="15.5" hidden="1">
      <c r="A131" s="35" t="s">
        <v>13</v>
      </c>
      <c r="B131" s="358" t="s">
        <v>14</v>
      </c>
      <c r="C131" s="50"/>
      <c r="D131" s="204"/>
      <c r="E131" s="204"/>
      <c r="F131" s="432"/>
      <c r="G131" s="433"/>
      <c r="H131" s="44"/>
    </row>
    <row r="132" spans="1:8" ht="42" hidden="1" customHeight="1">
      <c r="A132" s="44">
        <v>1</v>
      </c>
      <c r="B132" s="214" t="s">
        <v>388</v>
      </c>
      <c r="C132" s="44" t="s">
        <v>12</v>
      </c>
      <c r="D132" s="93">
        <v>45803</v>
      </c>
      <c r="E132" s="93">
        <v>45823</v>
      </c>
      <c r="F132" s="424" t="s">
        <v>390</v>
      </c>
      <c r="G132" s="425"/>
      <c r="H132" s="44"/>
    </row>
    <row r="133" spans="1:8" ht="31" hidden="1">
      <c r="A133" s="44">
        <v>2</v>
      </c>
      <c r="B133" s="214" t="s">
        <v>484</v>
      </c>
      <c r="C133" s="44" t="s">
        <v>12</v>
      </c>
      <c r="D133" s="93">
        <v>45810</v>
      </c>
      <c r="E133" s="93">
        <v>45838</v>
      </c>
      <c r="F133" s="436" t="s">
        <v>391</v>
      </c>
      <c r="G133" s="423"/>
      <c r="H133" s="44"/>
    </row>
    <row r="134" spans="1:8" ht="63" hidden="1" customHeight="1">
      <c r="A134" s="44">
        <v>3</v>
      </c>
      <c r="B134" s="73" t="s">
        <v>574</v>
      </c>
      <c r="C134" s="49" t="s">
        <v>39</v>
      </c>
      <c r="D134" s="93">
        <v>45798</v>
      </c>
      <c r="E134" s="93">
        <v>45807</v>
      </c>
      <c r="F134" s="422" t="s">
        <v>570</v>
      </c>
      <c r="G134" s="423"/>
      <c r="H134" s="198"/>
    </row>
    <row r="135" spans="1:8" ht="15.5">
      <c r="A135" s="44"/>
      <c r="B135" s="73"/>
      <c r="C135" s="44"/>
      <c r="D135" s="74"/>
      <c r="E135" s="74"/>
      <c r="F135" s="426"/>
      <c r="G135" s="426"/>
      <c r="H135" s="44"/>
    </row>
    <row r="136" spans="1:8" ht="20">
      <c r="A136" s="469" t="s">
        <v>24</v>
      </c>
      <c r="B136" s="469"/>
      <c r="C136" s="469"/>
      <c r="D136" s="469"/>
      <c r="E136" s="469"/>
      <c r="F136" s="469"/>
      <c r="G136" s="469"/>
      <c r="H136" s="470"/>
    </row>
    <row r="137" spans="1:8" ht="15">
      <c r="A137" s="446" t="s">
        <v>659</v>
      </c>
      <c r="B137" s="447"/>
      <c r="C137" s="447"/>
      <c r="D137" s="447"/>
      <c r="E137" s="447"/>
      <c r="F137" s="447"/>
      <c r="G137" s="447"/>
      <c r="H137" s="448"/>
    </row>
    <row r="138" spans="1:8" ht="15.75" customHeight="1">
      <c r="A138" s="471" t="s">
        <v>2</v>
      </c>
      <c r="B138" s="472" t="s">
        <v>3</v>
      </c>
      <c r="C138" s="455" t="s">
        <v>4</v>
      </c>
      <c r="D138" s="473" t="s">
        <v>5</v>
      </c>
      <c r="E138" s="473"/>
      <c r="F138" s="472" t="s">
        <v>6</v>
      </c>
      <c r="G138" s="455" t="s">
        <v>7</v>
      </c>
      <c r="H138" s="455" t="s">
        <v>392</v>
      </c>
    </row>
    <row r="139" spans="1:8" ht="15" customHeight="1">
      <c r="A139" s="471"/>
      <c r="B139" s="472"/>
      <c r="C139" s="455"/>
      <c r="D139" s="82" t="s">
        <v>8</v>
      </c>
      <c r="E139" s="82" t="s">
        <v>9</v>
      </c>
      <c r="F139" s="472"/>
      <c r="G139" s="455"/>
      <c r="H139" s="455"/>
    </row>
    <row r="140" spans="1:8" ht="15.5" hidden="1">
      <c r="A140" s="35" t="s">
        <v>10</v>
      </c>
      <c r="B140" s="358" t="s">
        <v>11</v>
      </c>
      <c r="C140" s="44" t="s">
        <v>12</v>
      </c>
      <c r="D140" s="87"/>
      <c r="E140" s="87"/>
      <c r="F140" s="380"/>
      <c r="G140" s="37"/>
      <c r="H140" s="44"/>
    </row>
    <row r="141" spans="1:8" ht="97.5" hidden="1" customHeight="1">
      <c r="A141" s="41">
        <v>1</v>
      </c>
      <c r="B141" s="222" t="s">
        <v>255</v>
      </c>
      <c r="C141" s="43" t="s">
        <v>12</v>
      </c>
      <c r="D141" s="463" t="s">
        <v>68</v>
      </c>
      <c r="E141" s="464"/>
      <c r="F141" s="394" t="s">
        <v>845</v>
      </c>
      <c r="G141" s="56"/>
      <c r="H141" s="104" t="s">
        <v>84</v>
      </c>
    </row>
    <row r="142" spans="1:8" ht="63" hidden="1" customHeight="1">
      <c r="A142" s="48" t="s">
        <v>552</v>
      </c>
      <c r="B142" s="217" t="s">
        <v>663</v>
      </c>
      <c r="C142" s="43" t="s">
        <v>39</v>
      </c>
      <c r="D142" s="183">
        <v>45798</v>
      </c>
      <c r="E142" s="183">
        <v>45799</v>
      </c>
      <c r="F142" s="217" t="s">
        <v>854</v>
      </c>
      <c r="G142" s="56" t="s">
        <v>855</v>
      </c>
      <c r="H142" s="44"/>
    </row>
    <row r="143" spans="1:8" ht="168.75" hidden="1" customHeight="1">
      <c r="A143" s="48" t="s">
        <v>553</v>
      </c>
      <c r="B143" s="217" t="s">
        <v>660</v>
      </c>
      <c r="C143" s="43" t="s">
        <v>39</v>
      </c>
      <c r="D143" s="183">
        <v>45799</v>
      </c>
      <c r="E143" s="183">
        <v>45803</v>
      </c>
      <c r="F143" s="217" t="s">
        <v>662</v>
      </c>
      <c r="G143" s="56"/>
      <c r="H143" s="44"/>
    </row>
    <row r="144" spans="1:8" ht="15.5" hidden="1">
      <c r="A144" s="48" t="s">
        <v>555</v>
      </c>
      <c r="B144" s="217" t="s">
        <v>693</v>
      </c>
      <c r="C144" s="43" t="s">
        <v>39</v>
      </c>
      <c r="D144" s="183">
        <v>45803</v>
      </c>
      <c r="E144" s="183">
        <v>45803</v>
      </c>
      <c r="F144" s="381" t="s">
        <v>664</v>
      </c>
      <c r="G144" s="56"/>
      <c r="H144" s="37"/>
    </row>
    <row r="145" spans="1:8" ht="62" hidden="1">
      <c r="A145" s="48" t="s">
        <v>562</v>
      </c>
      <c r="B145" s="73" t="s">
        <v>732</v>
      </c>
      <c r="C145" s="43" t="s">
        <v>39</v>
      </c>
      <c r="D145" s="183">
        <v>45804</v>
      </c>
      <c r="E145" s="183">
        <v>45804</v>
      </c>
      <c r="F145" s="392" t="s">
        <v>664</v>
      </c>
      <c r="G145" s="56"/>
      <c r="H145" s="37"/>
    </row>
    <row r="146" spans="1:8" ht="61.5" hidden="1" customHeight="1">
      <c r="A146" s="48" t="s">
        <v>632</v>
      </c>
      <c r="B146" s="73" t="s">
        <v>686</v>
      </c>
      <c r="C146" s="43" t="s">
        <v>39</v>
      </c>
      <c r="D146" s="183">
        <v>45805</v>
      </c>
      <c r="E146" s="183">
        <v>45805</v>
      </c>
      <c r="F146" s="217" t="s">
        <v>687</v>
      </c>
      <c r="G146" s="56"/>
      <c r="H146" s="37"/>
    </row>
    <row r="147" spans="1:8" ht="59.25" hidden="1" customHeight="1">
      <c r="A147" s="48" t="s">
        <v>721</v>
      </c>
      <c r="B147" s="73" t="s">
        <v>684</v>
      </c>
      <c r="C147" s="43" t="s">
        <v>39</v>
      </c>
      <c r="D147" s="183">
        <v>45805</v>
      </c>
      <c r="E147" s="183">
        <v>45805</v>
      </c>
      <c r="F147" s="217" t="s">
        <v>664</v>
      </c>
      <c r="G147" s="56"/>
      <c r="H147" s="37"/>
    </row>
    <row r="148" spans="1:8" ht="46.5" hidden="1">
      <c r="A148" s="48" t="s">
        <v>777</v>
      </c>
      <c r="B148" s="73" t="s">
        <v>688</v>
      </c>
      <c r="C148" s="43" t="s">
        <v>39</v>
      </c>
      <c r="D148" s="183">
        <v>45806</v>
      </c>
      <c r="E148" s="183">
        <v>45806</v>
      </c>
      <c r="F148" s="217" t="s">
        <v>664</v>
      </c>
      <c r="G148" s="56"/>
      <c r="H148" s="37"/>
    </row>
    <row r="149" spans="1:8" ht="15.5" hidden="1">
      <c r="A149" s="48" t="s">
        <v>780</v>
      </c>
      <c r="B149" s="73" t="s">
        <v>685</v>
      </c>
      <c r="C149" s="43" t="s">
        <v>39</v>
      </c>
      <c r="D149" s="183">
        <v>45806</v>
      </c>
      <c r="E149" s="183">
        <v>45806</v>
      </c>
      <c r="F149" s="381" t="s">
        <v>664</v>
      </c>
      <c r="G149" s="56"/>
      <c r="H149" s="37"/>
    </row>
    <row r="150" spans="1:8" ht="46.5" hidden="1">
      <c r="A150" s="48" t="s">
        <v>781</v>
      </c>
      <c r="B150" s="73" t="s">
        <v>688</v>
      </c>
      <c r="C150" s="43" t="s">
        <v>39</v>
      </c>
      <c r="D150" s="183">
        <v>45806</v>
      </c>
      <c r="E150" s="183">
        <v>45806</v>
      </c>
      <c r="F150" s="381" t="s">
        <v>664</v>
      </c>
      <c r="G150" s="56"/>
      <c r="H150" s="37"/>
    </row>
    <row r="151" spans="1:8" s="241" customFormat="1" ht="163.5" hidden="1" customHeight="1">
      <c r="A151" s="341" t="s">
        <v>782</v>
      </c>
      <c r="B151" s="343" t="s">
        <v>668</v>
      </c>
      <c r="C151" s="242" t="s">
        <v>39</v>
      </c>
      <c r="D151" s="342">
        <v>45807</v>
      </c>
      <c r="E151" s="342">
        <v>45814</v>
      </c>
      <c r="F151" s="215" t="s">
        <v>669</v>
      </c>
      <c r="G151" s="344" t="s">
        <v>844</v>
      </c>
      <c r="H151" s="238"/>
    </row>
    <row r="152" spans="1:8" ht="36.75" hidden="1" customHeight="1">
      <c r="A152" s="48" t="s">
        <v>783</v>
      </c>
      <c r="B152" s="73" t="s">
        <v>700</v>
      </c>
      <c r="C152" s="43" t="s">
        <v>39</v>
      </c>
      <c r="D152" s="183">
        <v>45810</v>
      </c>
      <c r="E152" s="183">
        <v>45810</v>
      </c>
      <c r="F152" s="381" t="s">
        <v>664</v>
      </c>
      <c r="G152" s="56"/>
      <c r="H152" s="37"/>
    </row>
    <row r="153" spans="1:8" ht="35.25" hidden="1" customHeight="1">
      <c r="A153" s="48" t="s">
        <v>784</v>
      </c>
      <c r="B153" s="73" t="s">
        <v>701</v>
      </c>
      <c r="C153" s="43" t="s">
        <v>39</v>
      </c>
      <c r="D153" s="183">
        <v>45810</v>
      </c>
      <c r="E153" s="183">
        <v>45810</v>
      </c>
      <c r="F153" s="381" t="s">
        <v>664</v>
      </c>
      <c r="G153" s="56"/>
      <c r="H153" s="37"/>
    </row>
    <row r="154" spans="1:8" ht="66.75" hidden="1" customHeight="1">
      <c r="A154" s="48" t="s">
        <v>785</v>
      </c>
      <c r="B154" s="73" t="s">
        <v>670</v>
      </c>
      <c r="C154" s="43" t="s">
        <v>39</v>
      </c>
      <c r="D154" s="183">
        <v>45810</v>
      </c>
      <c r="E154" s="183">
        <v>45810</v>
      </c>
      <c r="F154" s="217" t="s">
        <v>664</v>
      </c>
      <c r="G154" s="56"/>
      <c r="H154" s="44"/>
    </row>
    <row r="155" spans="1:8" s="90" customFormat="1" ht="24.75" hidden="1" customHeight="1">
      <c r="A155" s="336" t="s">
        <v>786</v>
      </c>
      <c r="B155" s="319" t="s">
        <v>712</v>
      </c>
      <c r="C155" s="143" t="s">
        <v>39</v>
      </c>
      <c r="D155" s="337">
        <v>45820</v>
      </c>
      <c r="E155" s="337">
        <v>45820</v>
      </c>
      <c r="F155" s="349" t="s">
        <v>664</v>
      </c>
      <c r="G155" s="338"/>
      <c r="H155" s="339"/>
    </row>
    <row r="156" spans="1:8" s="90" customFormat="1" ht="72" hidden="1" customHeight="1">
      <c r="A156" s="336" t="s">
        <v>842</v>
      </c>
      <c r="B156" s="319" t="s">
        <v>718</v>
      </c>
      <c r="C156" s="143" t="s">
        <v>39</v>
      </c>
      <c r="D156" s="337">
        <v>45826</v>
      </c>
      <c r="E156" s="337">
        <v>45826</v>
      </c>
      <c r="F156" s="349" t="s">
        <v>664</v>
      </c>
      <c r="G156" s="338"/>
      <c r="H156" s="339"/>
    </row>
    <row r="157" spans="1:8" ht="44.25" hidden="1" customHeight="1">
      <c r="A157" s="41">
        <v>2</v>
      </c>
      <c r="B157" s="222" t="s">
        <v>257</v>
      </c>
      <c r="C157" s="43" t="s">
        <v>12</v>
      </c>
      <c r="D157" s="463" t="s">
        <v>68</v>
      </c>
      <c r="E157" s="464"/>
      <c r="F157" s="310" t="s">
        <v>534</v>
      </c>
      <c r="G157" s="56"/>
      <c r="H157" s="104" t="s">
        <v>84</v>
      </c>
    </row>
    <row r="158" spans="1:8" s="90" customFormat="1" ht="72" hidden="1" customHeight="1">
      <c r="A158" s="336" t="s">
        <v>567</v>
      </c>
      <c r="B158" s="319" t="s">
        <v>682</v>
      </c>
      <c r="C158" s="143" t="s">
        <v>39</v>
      </c>
      <c r="D158" s="337">
        <v>45804</v>
      </c>
      <c r="E158" s="337">
        <v>45804</v>
      </c>
      <c r="F158" s="367" t="s">
        <v>664</v>
      </c>
      <c r="G158" s="338"/>
      <c r="H158" s="339"/>
    </row>
    <row r="159" spans="1:8" s="90" customFormat="1" ht="46.5" hidden="1">
      <c r="A159" s="336" t="s">
        <v>569</v>
      </c>
      <c r="B159" s="319" t="s">
        <v>710</v>
      </c>
      <c r="C159" s="143" t="s">
        <v>39</v>
      </c>
      <c r="D159" s="337">
        <v>45817</v>
      </c>
      <c r="E159" s="337">
        <v>45817</v>
      </c>
      <c r="F159" s="349" t="s">
        <v>664</v>
      </c>
      <c r="G159" s="338"/>
      <c r="H159" s="339"/>
    </row>
    <row r="160" spans="1:8" s="90" customFormat="1" ht="39.75" hidden="1" customHeight="1">
      <c r="A160" s="336" t="s">
        <v>787</v>
      </c>
      <c r="B160" s="365" t="s">
        <v>768</v>
      </c>
      <c r="C160" s="143" t="s">
        <v>39</v>
      </c>
      <c r="D160" s="337">
        <v>45824</v>
      </c>
      <c r="E160" s="337">
        <v>45824</v>
      </c>
      <c r="F160" s="349" t="s">
        <v>664</v>
      </c>
      <c r="G160" s="338"/>
      <c r="H160" s="339"/>
    </row>
    <row r="161" spans="1:8" s="90" customFormat="1" ht="70.5" hidden="1" customHeight="1">
      <c r="A161" s="336" t="s">
        <v>788</v>
      </c>
      <c r="B161" s="319" t="s">
        <v>716</v>
      </c>
      <c r="C161" s="143" t="s">
        <v>39</v>
      </c>
      <c r="D161" s="337">
        <v>45825</v>
      </c>
      <c r="E161" s="337">
        <v>45825</v>
      </c>
      <c r="F161" s="349" t="s">
        <v>664</v>
      </c>
      <c r="G161" s="338"/>
      <c r="H161" s="339"/>
    </row>
    <row r="162" spans="1:8" s="90" customFormat="1" ht="31" hidden="1">
      <c r="A162" s="336" t="s">
        <v>789</v>
      </c>
      <c r="B162" s="319" t="s">
        <v>717</v>
      </c>
      <c r="C162" s="143" t="s">
        <v>39</v>
      </c>
      <c r="D162" s="337">
        <v>45825</v>
      </c>
      <c r="E162" s="337">
        <v>45825</v>
      </c>
      <c r="F162" s="349" t="s">
        <v>664</v>
      </c>
      <c r="G162" s="338"/>
      <c r="H162" s="339"/>
    </row>
    <row r="163" spans="1:8" s="90" customFormat="1" ht="36.75" hidden="1" customHeight="1">
      <c r="A163" s="336" t="s">
        <v>790</v>
      </c>
      <c r="B163" s="319" t="s">
        <v>720</v>
      </c>
      <c r="C163" s="143" t="s">
        <v>39</v>
      </c>
      <c r="D163" s="337">
        <v>45828</v>
      </c>
      <c r="E163" s="337">
        <v>45828</v>
      </c>
      <c r="F163" s="349" t="s">
        <v>664</v>
      </c>
      <c r="G163" s="338"/>
      <c r="H163" s="339"/>
    </row>
    <row r="164" spans="1:8" s="241" customFormat="1" ht="54" hidden="1" customHeight="1">
      <c r="A164" s="245">
        <v>3</v>
      </c>
      <c r="B164" s="366" t="s">
        <v>259</v>
      </c>
      <c r="C164" s="242" t="s">
        <v>12</v>
      </c>
      <c r="D164" s="465" t="s">
        <v>260</v>
      </c>
      <c r="E164" s="466"/>
      <c r="F164" s="215" t="s">
        <v>535</v>
      </c>
      <c r="G164" s="193" t="s">
        <v>536</v>
      </c>
      <c r="H164" s="44" t="s">
        <v>84</v>
      </c>
    </row>
    <row r="165" spans="1:8" s="241" customFormat="1" ht="52.5" hidden="1" customHeight="1">
      <c r="A165" s="48" t="s">
        <v>75</v>
      </c>
      <c r="B165" s="73" t="s">
        <v>667</v>
      </c>
      <c r="C165" s="43" t="s">
        <v>39</v>
      </c>
      <c r="D165" s="183">
        <v>45805</v>
      </c>
      <c r="E165" s="183">
        <v>45807</v>
      </c>
      <c r="F165" s="217" t="s">
        <v>800</v>
      </c>
      <c r="G165" s="56"/>
      <c r="H165" s="44"/>
    </row>
    <row r="166" spans="1:8" ht="30" hidden="1">
      <c r="A166" s="41">
        <v>4</v>
      </c>
      <c r="B166" s="310" t="s">
        <v>778</v>
      </c>
      <c r="C166" s="43" t="s">
        <v>39</v>
      </c>
      <c r="D166" s="463" t="s">
        <v>68</v>
      </c>
      <c r="E166" s="464"/>
      <c r="F166" s="385" t="s">
        <v>779</v>
      </c>
      <c r="G166" s="153"/>
      <c r="H166" s="44" t="s">
        <v>84</v>
      </c>
    </row>
    <row r="167" spans="1:8" s="90" customFormat="1" ht="72.75" hidden="1" customHeight="1">
      <c r="A167" s="336" t="s">
        <v>346</v>
      </c>
      <c r="B167" s="367" t="s">
        <v>689</v>
      </c>
      <c r="C167" s="143" t="s">
        <v>39</v>
      </c>
      <c r="D167" s="337">
        <v>45799</v>
      </c>
      <c r="E167" s="337">
        <v>45799</v>
      </c>
      <c r="F167" s="349" t="s">
        <v>664</v>
      </c>
      <c r="G167" s="338"/>
      <c r="H167" s="339"/>
    </row>
    <row r="168" spans="1:8" s="90" customFormat="1" ht="54" hidden="1" customHeight="1">
      <c r="A168" s="336" t="s">
        <v>347</v>
      </c>
      <c r="B168" s="367" t="s">
        <v>690</v>
      </c>
      <c r="C168" s="143" t="s">
        <v>39</v>
      </c>
      <c r="D168" s="337">
        <v>45799</v>
      </c>
      <c r="E168" s="337">
        <v>45799</v>
      </c>
      <c r="F168" s="349" t="s">
        <v>664</v>
      </c>
      <c r="G168" s="338"/>
      <c r="H168" s="339"/>
    </row>
    <row r="169" spans="1:8" s="90" customFormat="1" ht="54" hidden="1" customHeight="1">
      <c r="A169" s="336" t="s">
        <v>356</v>
      </c>
      <c r="B169" s="367" t="s">
        <v>691</v>
      </c>
      <c r="C169" s="143" t="s">
        <v>39</v>
      </c>
      <c r="D169" s="337">
        <v>45800</v>
      </c>
      <c r="E169" s="337">
        <v>45800</v>
      </c>
      <c r="F169" s="349" t="s">
        <v>664</v>
      </c>
      <c r="G169" s="338"/>
      <c r="H169" s="339"/>
    </row>
    <row r="170" spans="1:8" s="90" customFormat="1" ht="54" hidden="1" customHeight="1">
      <c r="A170" s="336" t="s">
        <v>357</v>
      </c>
      <c r="B170" s="367" t="s">
        <v>692</v>
      </c>
      <c r="C170" s="143" t="s">
        <v>39</v>
      </c>
      <c r="D170" s="337">
        <v>45800</v>
      </c>
      <c r="E170" s="337">
        <v>45800</v>
      </c>
      <c r="F170" s="349" t="s">
        <v>664</v>
      </c>
      <c r="G170" s="338"/>
      <c r="H170" s="339"/>
    </row>
    <row r="171" spans="1:8" s="90" customFormat="1" ht="66.75" hidden="1" customHeight="1">
      <c r="A171" s="336" t="s">
        <v>358</v>
      </c>
      <c r="B171" s="367" t="s">
        <v>694</v>
      </c>
      <c r="C171" s="143" t="s">
        <v>39</v>
      </c>
      <c r="D171" s="337">
        <v>45803</v>
      </c>
      <c r="E171" s="337">
        <v>45803</v>
      </c>
      <c r="F171" s="349" t="s">
        <v>664</v>
      </c>
      <c r="G171" s="338"/>
      <c r="H171" s="339"/>
    </row>
    <row r="172" spans="1:8" s="90" customFormat="1" ht="31" hidden="1">
      <c r="A172" s="336" t="s">
        <v>359</v>
      </c>
      <c r="B172" s="319" t="s">
        <v>697</v>
      </c>
      <c r="C172" s="143" t="s">
        <v>39</v>
      </c>
      <c r="D172" s="337">
        <v>45806</v>
      </c>
      <c r="E172" s="337">
        <v>45806</v>
      </c>
      <c r="F172" s="349" t="s">
        <v>664</v>
      </c>
      <c r="G172" s="338"/>
      <c r="H172" s="339"/>
    </row>
    <row r="173" spans="1:8" s="90" customFormat="1" ht="15.5" hidden="1">
      <c r="A173" s="336" t="s">
        <v>360</v>
      </c>
      <c r="B173" s="319" t="s">
        <v>695</v>
      </c>
      <c r="C173" s="143" t="s">
        <v>39</v>
      </c>
      <c r="D173" s="337">
        <v>45804</v>
      </c>
      <c r="E173" s="337">
        <v>45804</v>
      </c>
      <c r="F173" s="349" t="s">
        <v>664</v>
      </c>
      <c r="G173" s="338"/>
      <c r="H173" s="339"/>
    </row>
    <row r="174" spans="1:8" s="90" customFormat="1" ht="31" hidden="1">
      <c r="A174" s="336" t="s">
        <v>362</v>
      </c>
      <c r="B174" s="319" t="s">
        <v>696</v>
      </c>
      <c r="C174" s="143" t="s">
        <v>39</v>
      </c>
      <c r="D174" s="337">
        <v>45804</v>
      </c>
      <c r="E174" s="337">
        <v>45804</v>
      </c>
      <c r="F174" s="349" t="s">
        <v>664</v>
      </c>
      <c r="G174" s="338"/>
      <c r="H174" s="339"/>
    </row>
    <row r="175" spans="1:8" s="90" customFormat="1" ht="31" hidden="1">
      <c r="A175" s="336" t="s">
        <v>363</v>
      </c>
      <c r="B175" s="319" t="s">
        <v>698</v>
      </c>
      <c r="C175" s="143" t="s">
        <v>39</v>
      </c>
      <c r="D175" s="337">
        <v>45807</v>
      </c>
      <c r="E175" s="337">
        <v>45807</v>
      </c>
      <c r="F175" s="349" t="s">
        <v>664</v>
      </c>
      <c r="G175" s="338"/>
      <c r="H175" s="339"/>
    </row>
    <row r="176" spans="1:8" s="90" customFormat="1" ht="39.75" hidden="1" customHeight="1">
      <c r="A176" s="336" t="s">
        <v>364</v>
      </c>
      <c r="B176" s="319" t="s">
        <v>699</v>
      </c>
      <c r="C176" s="143" t="s">
        <v>39</v>
      </c>
      <c r="D176" s="337">
        <v>45807</v>
      </c>
      <c r="E176" s="337">
        <v>45807</v>
      </c>
      <c r="F176" s="349" t="s">
        <v>664</v>
      </c>
      <c r="G176" s="338"/>
      <c r="H176" s="339"/>
    </row>
    <row r="177" spans="1:12" s="90" customFormat="1" ht="31" hidden="1">
      <c r="A177" s="336" t="s">
        <v>365</v>
      </c>
      <c r="B177" s="319" t="s">
        <v>702</v>
      </c>
      <c r="C177" s="143" t="s">
        <v>39</v>
      </c>
      <c r="D177" s="337">
        <v>45810</v>
      </c>
      <c r="E177" s="337">
        <v>45810</v>
      </c>
      <c r="F177" s="349" t="s">
        <v>664</v>
      </c>
      <c r="G177" s="338"/>
      <c r="H177" s="339"/>
    </row>
    <row r="178" spans="1:12" s="90" customFormat="1" ht="31" hidden="1">
      <c r="A178" s="336" t="s">
        <v>366</v>
      </c>
      <c r="B178" s="319" t="s">
        <v>703</v>
      </c>
      <c r="C178" s="143" t="s">
        <v>39</v>
      </c>
      <c r="D178" s="337">
        <v>45811</v>
      </c>
      <c r="E178" s="337">
        <v>45811</v>
      </c>
      <c r="F178" s="349" t="s">
        <v>664</v>
      </c>
      <c r="G178" s="338"/>
      <c r="H178" s="339"/>
    </row>
    <row r="179" spans="1:12" s="90" customFormat="1" ht="31" hidden="1">
      <c r="A179" s="336" t="s">
        <v>367</v>
      </c>
      <c r="B179" s="319" t="s">
        <v>704</v>
      </c>
      <c r="C179" s="143" t="s">
        <v>39</v>
      </c>
      <c r="D179" s="337">
        <v>45812</v>
      </c>
      <c r="E179" s="337">
        <v>45812</v>
      </c>
      <c r="F179" s="349" t="s">
        <v>664</v>
      </c>
      <c r="G179" s="338"/>
      <c r="H179" s="339"/>
    </row>
    <row r="180" spans="1:12" s="90" customFormat="1" ht="31" hidden="1">
      <c r="A180" s="336" t="s">
        <v>368</v>
      </c>
      <c r="B180" s="319" t="s">
        <v>706</v>
      </c>
      <c r="C180" s="143" t="s">
        <v>39</v>
      </c>
      <c r="D180" s="337">
        <v>45813</v>
      </c>
      <c r="E180" s="337">
        <v>45813</v>
      </c>
      <c r="F180" s="349" t="s">
        <v>664</v>
      </c>
      <c r="G180" s="338"/>
      <c r="H180" s="339"/>
    </row>
    <row r="181" spans="1:12" s="90" customFormat="1" ht="61.5" hidden="1" customHeight="1">
      <c r="A181" s="336" t="s">
        <v>369</v>
      </c>
      <c r="B181" s="319" t="s">
        <v>709</v>
      </c>
      <c r="C181" s="143" t="s">
        <v>39</v>
      </c>
      <c r="D181" s="337">
        <v>45814</v>
      </c>
      <c r="E181" s="337">
        <v>45814</v>
      </c>
      <c r="F181" s="349" t="s">
        <v>664</v>
      </c>
      <c r="G181" s="338"/>
      <c r="H181" s="339"/>
    </row>
    <row r="182" spans="1:12" s="90" customFormat="1" ht="31" hidden="1">
      <c r="A182" s="336" t="s">
        <v>372</v>
      </c>
      <c r="B182" s="319" t="s">
        <v>711</v>
      </c>
      <c r="C182" s="143" t="s">
        <v>39</v>
      </c>
      <c r="D182" s="337">
        <v>45817</v>
      </c>
      <c r="E182" s="337">
        <v>45817</v>
      </c>
      <c r="F182" s="349" t="s">
        <v>664</v>
      </c>
      <c r="G182" s="141"/>
      <c r="H182" s="339"/>
    </row>
    <row r="183" spans="1:12" s="90" customFormat="1" ht="31" hidden="1">
      <c r="A183" s="336" t="s">
        <v>373</v>
      </c>
      <c r="B183" s="319" t="s">
        <v>713</v>
      </c>
      <c r="C183" s="143" t="s">
        <v>39</v>
      </c>
      <c r="D183" s="337">
        <v>45820</v>
      </c>
      <c r="E183" s="337">
        <v>45820</v>
      </c>
      <c r="F183" s="349" t="s">
        <v>664</v>
      </c>
      <c r="G183" s="338"/>
      <c r="H183" s="339"/>
    </row>
    <row r="184" spans="1:12" s="90" customFormat="1" ht="75" hidden="1" customHeight="1">
      <c r="A184" s="336" t="s">
        <v>374</v>
      </c>
      <c r="B184" s="319" t="s">
        <v>715</v>
      </c>
      <c r="C184" s="143" t="s">
        <v>39</v>
      </c>
      <c r="D184" s="337">
        <v>45820</v>
      </c>
      <c r="E184" s="337">
        <v>45820</v>
      </c>
      <c r="F184" s="349" t="s">
        <v>664</v>
      </c>
      <c r="G184" s="338"/>
      <c r="H184" s="339"/>
    </row>
    <row r="185" spans="1:12" s="90" customFormat="1" ht="31" hidden="1">
      <c r="A185" s="336" t="s">
        <v>377</v>
      </c>
      <c r="B185" s="319" t="s">
        <v>719</v>
      </c>
      <c r="C185" s="143" t="s">
        <v>39</v>
      </c>
      <c r="D185" s="337">
        <v>45827</v>
      </c>
      <c r="E185" s="337">
        <v>45827</v>
      </c>
      <c r="F185" s="349" t="s">
        <v>664</v>
      </c>
      <c r="G185" s="338"/>
      <c r="H185" s="339"/>
    </row>
    <row r="186" spans="1:12" s="241" customFormat="1" ht="132.75" hidden="1" customHeight="1">
      <c r="A186" s="260">
        <v>5</v>
      </c>
      <c r="B186" s="368" t="s">
        <v>707</v>
      </c>
      <c r="C186" s="261" t="s">
        <v>39</v>
      </c>
      <c r="D186" s="467" t="s">
        <v>68</v>
      </c>
      <c r="E186" s="468"/>
      <c r="F186" s="262" t="s">
        <v>571</v>
      </c>
      <c r="G186" s="263" t="s">
        <v>572</v>
      </c>
      <c r="H186" s="393" t="s">
        <v>393</v>
      </c>
    </row>
    <row r="187" spans="1:12" s="90" customFormat="1" ht="56.25" hidden="1" customHeight="1">
      <c r="A187" s="336" t="s">
        <v>348</v>
      </c>
      <c r="B187" s="367" t="s">
        <v>722</v>
      </c>
      <c r="C187" s="143" t="s">
        <v>39</v>
      </c>
      <c r="D187" s="345">
        <v>45799</v>
      </c>
      <c r="E187" s="345">
        <v>45799</v>
      </c>
      <c r="F187" s="349" t="s">
        <v>664</v>
      </c>
      <c r="G187" s="338"/>
      <c r="H187" s="339"/>
    </row>
    <row r="188" spans="1:12" s="90" customFormat="1" ht="31" hidden="1">
      <c r="A188" s="336" t="s">
        <v>349</v>
      </c>
      <c r="B188" s="367" t="s">
        <v>723</v>
      </c>
      <c r="C188" s="143" t="s">
        <v>39</v>
      </c>
      <c r="D188" s="346">
        <v>45799</v>
      </c>
      <c r="E188" s="346">
        <v>45799</v>
      </c>
      <c r="F188" s="349" t="s">
        <v>664</v>
      </c>
      <c r="G188" s="338"/>
      <c r="H188" s="339"/>
    </row>
    <row r="189" spans="1:12" s="90" customFormat="1" ht="31" hidden="1">
      <c r="A189" s="336" t="s">
        <v>538</v>
      </c>
      <c r="B189" s="367" t="s">
        <v>724</v>
      </c>
      <c r="C189" s="143" t="s">
        <v>39</v>
      </c>
      <c r="D189" s="346">
        <v>45800</v>
      </c>
      <c r="E189" s="346">
        <v>45800</v>
      </c>
      <c r="F189" s="349" t="s">
        <v>664</v>
      </c>
      <c r="G189" s="338"/>
      <c r="H189" s="339"/>
    </row>
    <row r="190" spans="1:12" s="90" customFormat="1" ht="31" hidden="1">
      <c r="A190" s="336" t="s">
        <v>539</v>
      </c>
      <c r="B190" s="367" t="s">
        <v>725</v>
      </c>
      <c r="C190" s="143" t="s">
        <v>39</v>
      </c>
      <c r="D190" s="346">
        <v>45800</v>
      </c>
      <c r="E190" s="346">
        <v>45800</v>
      </c>
      <c r="F190" s="349" t="s">
        <v>664</v>
      </c>
      <c r="G190" s="338"/>
      <c r="H190" s="339"/>
    </row>
    <row r="191" spans="1:12" s="90" customFormat="1" ht="31" hidden="1">
      <c r="A191" s="336" t="s">
        <v>540</v>
      </c>
      <c r="B191" s="367" t="s">
        <v>726</v>
      </c>
      <c r="C191" s="143" t="s">
        <v>39</v>
      </c>
      <c r="D191" s="346">
        <v>45800</v>
      </c>
      <c r="E191" s="346">
        <v>45800</v>
      </c>
      <c r="F191" s="349" t="s">
        <v>664</v>
      </c>
      <c r="G191" s="338"/>
      <c r="H191" s="339"/>
    </row>
    <row r="192" spans="1:12" s="90" customFormat="1" ht="31" hidden="1">
      <c r="A192" s="336" t="s">
        <v>541</v>
      </c>
      <c r="B192" s="319" t="s">
        <v>727</v>
      </c>
      <c r="C192" s="143" t="s">
        <v>39</v>
      </c>
      <c r="D192" s="346">
        <v>45803</v>
      </c>
      <c r="E192" s="346">
        <v>45803</v>
      </c>
      <c r="F192" s="349" t="s">
        <v>664</v>
      </c>
      <c r="G192" s="338"/>
      <c r="H192" s="339"/>
      <c r="L192" s="347"/>
    </row>
    <row r="193" spans="1:8" s="90" customFormat="1" ht="31" hidden="1">
      <c r="A193" s="336" t="s">
        <v>542</v>
      </c>
      <c r="B193" s="319" t="s">
        <v>728</v>
      </c>
      <c r="C193" s="143" t="s">
        <v>39</v>
      </c>
      <c r="D193" s="346">
        <v>45803</v>
      </c>
      <c r="E193" s="346">
        <v>45803</v>
      </c>
      <c r="F193" s="349" t="s">
        <v>664</v>
      </c>
      <c r="G193" s="338"/>
      <c r="H193" s="339"/>
    </row>
    <row r="194" spans="1:8" s="90" customFormat="1" ht="31" hidden="1">
      <c r="A194" s="336" t="s">
        <v>543</v>
      </c>
      <c r="B194" s="319" t="s">
        <v>729</v>
      </c>
      <c r="C194" s="143" t="s">
        <v>39</v>
      </c>
      <c r="D194" s="337">
        <v>45804</v>
      </c>
      <c r="E194" s="337">
        <v>45804</v>
      </c>
      <c r="F194" s="349" t="s">
        <v>664</v>
      </c>
      <c r="G194" s="338"/>
      <c r="H194" s="339"/>
    </row>
    <row r="195" spans="1:8" s="90" customFormat="1" ht="31" hidden="1">
      <c r="A195" s="336" t="s">
        <v>544</v>
      </c>
      <c r="B195" s="319" t="s">
        <v>730</v>
      </c>
      <c r="C195" s="143" t="s">
        <v>39</v>
      </c>
      <c r="D195" s="337">
        <v>45804</v>
      </c>
      <c r="E195" s="337">
        <v>45804</v>
      </c>
      <c r="F195" s="349" t="s">
        <v>664</v>
      </c>
      <c r="G195" s="338"/>
      <c r="H195" s="339"/>
    </row>
    <row r="196" spans="1:8" s="90" customFormat="1" ht="63" hidden="1" customHeight="1">
      <c r="A196" s="336" t="s">
        <v>545</v>
      </c>
      <c r="B196" s="319" t="s">
        <v>682</v>
      </c>
      <c r="C196" s="143" t="s">
        <v>39</v>
      </c>
      <c r="D196" s="337">
        <v>45804</v>
      </c>
      <c r="E196" s="337">
        <v>45804</v>
      </c>
      <c r="F196" s="349" t="s">
        <v>664</v>
      </c>
      <c r="G196" s="338"/>
      <c r="H196" s="339"/>
    </row>
    <row r="197" spans="1:8" s="90" customFormat="1" ht="42" hidden="1" customHeight="1">
      <c r="A197" s="336" t="s">
        <v>546</v>
      </c>
      <c r="B197" s="319" t="s">
        <v>731</v>
      </c>
      <c r="C197" s="143" t="s">
        <v>39</v>
      </c>
      <c r="D197" s="337">
        <v>45804</v>
      </c>
      <c r="E197" s="337">
        <v>45804</v>
      </c>
      <c r="F197" s="349" t="s">
        <v>664</v>
      </c>
      <c r="G197" s="338"/>
      <c r="H197" s="339"/>
    </row>
    <row r="198" spans="1:8" s="90" customFormat="1" ht="31" hidden="1">
      <c r="A198" s="336" t="s">
        <v>805</v>
      </c>
      <c r="B198" s="319" t="s">
        <v>733</v>
      </c>
      <c r="C198" s="143" t="s">
        <v>39</v>
      </c>
      <c r="D198" s="337">
        <v>45805</v>
      </c>
      <c r="E198" s="337">
        <v>45805</v>
      </c>
      <c r="F198" s="349" t="s">
        <v>664</v>
      </c>
      <c r="G198" s="338"/>
      <c r="H198" s="339"/>
    </row>
    <row r="199" spans="1:8" s="90" customFormat="1" ht="62.25" hidden="1" customHeight="1">
      <c r="A199" s="336" t="s">
        <v>806</v>
      </c>
      <c r="B199" s="319" t="s">
        <v>734</v>
      </c>
      <c r="C199" s="143" t="s">
        <v>39</v>
      </c>
      <c r="D199" s="337">
        <v>45805</v>
      </c>
      <c r="E199" s="337">
        <v>45805</v>
      </c>
      <c r="F199" s="349" t="s">
        <v>664</v>
      </c>
      <c r="G199" s="338"/>
      <c r="H199" s="339"/>
    </row>
    <row r="200" spans="1:8" s="90" customFormat="1" ht="15.5" hidden="1">
      <c r="A200" s="336" t="s">
        <v>807</v>
      </c>
      <c r="B200" s="319" t="s">
        <v>735</v>
      </c>
      <c r="C200" s="143" t="s">
        <v>39</v>
      </c>
      <c r="D200" s="337">
        <v>45806</v>
      </c>
      <c r="E200" s="337">
        <v>45806</v>
      </c>
      <c r="F200" s="349" t="s">
        <v>664</v>
      </c>
      <c r="G200" s="338"/>
      <c r="H200" s="339"/>
    </row>
    <row r="201" spans="1:8" s="90" customFormat="1" ht="42" hidden="1" customHeight="1">
      <c r="A201" s="336" t="s">
        <v>808</v>
      </c>
      <c r="B201" s="319" t="s">
        <v>736</v>
      </c>
      <c r="C201" s="143" t="s">
        <v>39</v>
      </c>
      <c r="D201" s="337">
        <v>45806</v>
      </c>
      <c r="E201" s="337">
        <v>45806</v>
      </c>
      <c r="F201" s="349" t="s">
        <v>664</v>
      </c>
      <c r="G201" s="338"/>
      <c r="H201" s="339"/>
    </row>
    <row r="202" spans="1:8" s="90" customFormat="1" ht="31" hidden="1">
      <c r="A202" s="336" t="s">
        <v>809</v>
      </c>
      <c r="B202" s="319" t="s">
        <v>737</v>
      </c>
      <c r="C202" s="143" t="s">
        <v>39</v>
      </c>
      <c r="D202" s="337">
        <v>45806</v>
      </c>
      <c r="E202" s="337">
        <v>45807</v>
      </c>
      <c r="F202" s="349"/>
      <c r="G202" s="338"/>
      <c r="H202" s="339"/>
    </row>
    <row r="203" spans="1:8" s="90" customFormat="1" ht="31" hidden="1">
      <c r="A203" s="336" t="s">
        <v>810</v>
      </c>
      <c r="B203" s="319" t="s">
        <v>738</v>
      </c>
      <c r="C203" s="143" t="s">
        <v>39</v>
      </c>
      <c r="D203" s="337">
        <v>45806</v>
      </c>
      <c r="E203" s="337">
        <v>45806</v>
      </c>
      <c r="F203" s="349" t="s">
        <v>664</v>
      </c>
      <c r="G203" s="338"/>
      <c r="H203" s="339"/>
    </row>
    <row r="204" spans="1:8" s="90" customFormat="1" ht="46.5" hidden="1">
      <c r="A204" s="336" t="s">
        <v>811</v>
      </c>
      <c r="B204" s="319" t="s">
        <v>739</v>
      </c>
      <c r="C204" s="143" t="s">
        <v>39</v>
      </c>
      <c r="D204" s="337">
        <v>45806</v>
      </c>
      <c r="E204" s="337">
        <v>45806</v>
      </c>
      <c r="F204" s="349" t="s">
        <v>740</v>
      </c>
      <c r="G204" s="338"/>
      <c r="H204" s="339"/>
    </row>
    <row r="205" spans="1:8" s="90" customFormat="1" ht="202.5" hidden="1" customHeight="1">
      <c r="A205" s="336" t="s">
        <v>812</v>
      </c>
      <c r="B205" s="319" t="s">
        <v>741</v>
      </c>
      <c r="C205" s="143" t="s">
        <v>39</v>
      </c>
      <c r="D205" s="337">
        <v>45807</v>
      </c>
      <c r="E205" s="337">
        <v>45807</v>
      </c>
      <c r="F205" s="349" t="s">
        <v>742</v>
      </c>
      <c r="G205" s="338"/>
      <c r="H205" s="339"/>
    </row>
    <row r="206" spans="1:8" s="90" customFormat="1" ht="31" hidden="1">
      <c r="A206" s="336" t="s">
        <v>813</v>
      </c>
      <c r="B206" s="319" t="s">
        <v>743</v>
      </c>
      <c r="C206" s="143" t="s">
        <v>39</v>
      </c>
      <c r="D206" s="337">
        <v>45807</v>
      </c>
      <c r="E206" s="337">
        <v>45807</v>
      </c>
      <c r="F206" s="349" t="s">
        <v>664</v>
      </c>
      <c r="G206" s="338"/>
      <c r="H206" s="339"/>
    </row>
    <row r="207" spans="1:8" s="90" customFormat="1" ht="62" hidden="1">
      <c r="A207" s="336" t="s">
        <v>814</v>
      </c>
      <c r="B207" s="319" t="s">
        <v>744</v>
      </c>
      <c r="C207" s="143" t="s">
        <v>39</v>
      </c>
      <c r="D207" s="337">
        <v>45807</v>
      </c>
      <c r="E207" s="337">
        <v>45807</v>
      </c>
      <c r="F207" s="349" t="s">
        <v>664</v>
      </c>
      <c r="G207" s="338"/>
      <c r="H207" s="339"/>
    </row>
    <row r="208" spans="1:8" s="90" customFormat="1" ht="38.25" hidden="1" customHeight="1">
      <c r="A208" s="336" t="s">
        <v>815</v>
      </c>
      <c r="B208" s="319" t="s">
        <v>745</v>
      </c>
      <c r="C208" s="143" t="s">
        <v>39</v>
      </c>
      <c r="D208" s="337">
        <v>45807</v>
      </c>
      <c r="E208" s="337">
        <v>45807</v>
      </c>
      <c r="F208" s="349" t="s">
        <v>664</v>
      </c>
      <c r="G208" s="338"/>
      <c r="H208" s="339"/>
    </row>
    <row r="209" spans="1:8" s="90" customFormat="1" ht="46.5" hidden="1">
      <c r="A209" s="336" t="s">
        <v>816</v>
      </c>
      <c r="B209" s="319" t="s">
        <v>746</v>
      </c>
      <c r="C209" s="143" t="s">
        <v>39</v>
      </c>
      <c r="D209" s="337">
        <v>45810</v>
      </c>
      <c r="E209" s="337">
        <v>45810</v>
      </c>
      <c r="F209" s="349" t="s">
        <v>664</v>
      </c>
      <c r="G209" s="338"/>
      <c r="H209" s="339"/>
    </row>
    <row r="210" spans="1:8" s="90" customFormat="1" ht="51" hidden="1" customHeight="1">
      <c r="A210" s="336" t="s">
        <v>817</v>
      </c>
      <c r="B210" s="319" t="s">
        <v>750</v>
      </c>
      <c r="C210" s="143" t="s">
        <v>39</v>
      </c>
      <c r="D210" s="337">
        <v>45810</v>
      </c>
      <c r="E210" s="337">
        <v>45810</v>
      </c>
      <c r="F210" s="349" t="s">
        <v>664</v>
      </c>
      <c r="G210" s="338"/>
      <c r="H210" s="339"/>
    </row>
    <row r="211" spans="1:8" s="90" customFormat="1" ht="36" hidden="1" customHeight="1">
      <c r="A211" s="336" t="s">
        <v>818</v>
      </c>
      <c r="B211" s="319" t="s">
        <v>755</v>
      </c>
      <c r="C211" s="143" t="s">
        <v>39</v>
      </c>
      <c r="D211" s="337">
        <v>45813</v>
      </c>
      <c r="E211" s="337">
        <v>45813</v>
      </c>
      <c r="F211" s="349" t="s">
        <v>664</v>
      </c>
      <c r="G211" s="338"/>
      <c r="H211" s="339"/>
    </row>
    <row r="212" spans="1:8" s="90" customFormat="1" ht="53.25" hidden="1" customHeight="1">
      <c r="A212" s="336" t="s">
        <v>819</v>
      </c>
      <c r="B212" s="319" t="s">
        <v>756</v>
      </c>
      <c r="C212" s="143" t="s">
        <v>39</v>
      </c>
      <c r="D212" s="337">
        <v>45813</v>
      </c>
      <c r="E212" s="337">
        <v>45813</v>
      </c>
      <c r="F212" s="349" t="s">
        <v>664</v>
      </c>
      <c r="G212" s="338"/>
      <c r="H212" s="339"/>
    </row>
    <row r="213" spans="1:8" s="90" customFormat="1" ht="31" hidden="1">
      <c r="A213" s="336" t="s">
        <v>820</v>
      </c>
      <c r="B213" s="319" t="s">
        <v>757</v>
      </c>
      <c r="C213" s="143" t="s">
        <v>39</v>
      </c>
      <c r="D213" s="337">
        <v>45813</v>
      </c>
      <c r="E213" s="337">
        <v>45813</v>
      </c>
      <c r="F213" s="349" t="s">
        <v>664</v>
      </c>
      <c r="G213" s="338"/>
      <c r="H213" s="339"/>
    </row>
    <row r="214" spans="1:8" s="90" customFormat="1" ht="31" hidden="1">
      <c r="A214" s="336" t="s">
        <v>821</v>
      </c>
      <c r="B214" s="319" t="s">
        <v>758</v>
      </c>
      <c r="C214" s="143" t="s">
        <v>39</v>
      </c>
      <c r="D214" s="337">
        <v>45814</v>
      </c>
      <c r="E214" s="337">
        <v>45814</v>
      </c>
      <c r="F214" s="349" t="s">
        <v>664</v>
      </c>
      <c r="G214" s="338"/>
      <c r="H214" s="339"/>
    </row>
    <row r="215" spans="1:8" s="90" customFormat="1" ht="46.5" hidden="1">
      <c r="A215" s="336" t="s">
        <v>822</v>
      </c>
      <c r="B215" s="319" t="s">
        <v>708</v>
      </c>
      <c r="C215" s="143" t="s">
        <v>39</v>
      </c>
      <c r="D215" s="337">
        <v>45814</v>
      </c>
      <c r="E215" s="337">
        <v>45814</v>
      </c>
      <c r="F215" s="349" t="s">
        <v>664</v>
      </c>
      <c r="G215" s="338"/>
      <c r="H215" s="339"/>
    </row>
    <row r="216" spans="1:8" s="90" customFormat="1" ht="31" hidden="1">
      <c r="A216" s="336" t="s">
        <v>823</v>
      </c>
      <c r="B216" s="319" t="s">
        <v>761</v>
      </c>
      <c r="C216" s="143" t="s">
        <v>39</v>
      </c>
      <c r="D216" s="337">
        <v>45814</v>
      </c>
      <c r="E216" s="337">
        <v>45814</v>
      </c>
      <c r="F216" s="349" t="s">
        <v>664</v>
      </c>
      <c r="G216" s="338"/>
      <c r="H216" s="339"/>
    </row>
    <row r="217" spans="1:8" s="90" customFormat="1" ht="53.25" hidden="1" customHeight="1">
      <c r="A217" s="336" t="s">
        <v>824</v>
      </c>
      <c r="B217" s="319" t="s">
        <v>762</v>
      </c>
      <c r="C217" s="143" t="s">
        <v>39</v>
      </c>
      <c r="D217" s="337">
        <v>45814</v>
      </c>
      <c r="E217" s="337">
        <v>45814</v>
      </c>
      <c r="F217" s="349" t="s">
        <v>664</v>
      </c>
      <c r="G217" s="338"/>
      <c r="H217" s="339"/>
    </row>
    <row r="218" spans="1:8" s="90" customFormat="1" ht="31" hidden="1">
      <c r="A218" s="336" t="s">
        <v>825</v>
      </c>
      <c r="B218" s="319" t="s">
        <v>765</v>
      </c>
      <c r="C218" s="143" t="s">
        <v>39</v>
      </c>
      <c r="D218" s="337">
        <v>45820</v>
      </c>
      <c r="E218" s="337">
        <v>45820</v>
      </c>
      <c r="F218" s="349" t="s">
        <v>664</v>
      </c>
      <c r="G218" s="338"/>
      <c r="H218" s="339"/>
    </row>
    <row r="219" spans="1:8" s="90" customFormat="1" ht="75" hidden="1" customHeight="1">
      <c r="A219" s="336" t="s">
        <v>826</v>
      </c>
      <c r="B219" s="319" t="s">
        <v>714</v>
      </c>
      <c r="C219" s="143" t="s">
        <v>39</v>
      </c>
      <c r="D219" s="337">
        <v>45820</v>
      </c>
      <c r="E219" s="337">
        <v>45820</v>
      </c>
      <c r="F219" s="349" t="s">
        <v>664</v>
      </c>
      <c r="G219" s="338"/>
      <c r="H219" s="339"/>
    </row>
    <row r="220" spans="1:8" s="90" customFormat="1" ht="31" hidden="1">
      <c r="A220" s="336" t="s">
        <v>827</v>
      </c>
      <c r="B220" s="319" t="s">
        <v>766</v>
      </c>
      <c r="C220" s="143" t="s">
        <v>39</v>
      </c>
      <c r="D220" s="337">
        <v>45821</v>
      </c>
      <c r="E220" s="337">
        <v>45821</v>
      </c>
      <c r="F220" s="349" t="s">
        <v>664</v>
      </c>
      <c r="G220" s="338"/>
      <c r="H220" s="339"/>
    </row>
    <row r="221" spans="1:8" s="90" customFormat="1" ht="31" hidden="1">
      <c r="A221" s="336" t="s">
        <v>828</v>
      </c>
      <c r="B221" s="319" t="s">
        <v>769</v>
      </c>
      <c r="C221" s="143" t="s">
        <v>39</v>
      </c>
      <c r="D221" s="348">
        <v>45824</v>
      </c>
      <c r="E221" s="348">
        <v>45824</v>
      </c>
      <c r="F221" s="349" t="s">
        <v>664</v>
      </c>
      <c r="G221" s="338"/>
      <c r="H221" s="339"/>
    </row>
    <row r="222" spans="1:8" s="90" customFormat="1" ht="15.5" hidden="1">
      <c r="A222" s="336" t="s">
        <v>829</v>
      </c>
      <c r="B222" s="319" t="s">
        <v>770</v>
      </c>
      <c r="C222" s="143" t="s">
        <v>39</v>
      </c>
      <c r="D222" s="348">
        <v>45824</v>
      </c>
      <c r="E222" s="348">
        <v>45824</v>
      </c>
      <c r="F222" s="349" t="s">
        <v>664</v>
      </c>
      <c r="G222" s="338"/>
      <c r="H222" s="339"/>
    </row>
    <row r="223" spans="1:8" s="90" customFormat="1" ht="31" hidden="1">
      <c r="A223" s="336" t="s">
        <v>830</v>
      </c>
      <c r="B223" s="319" t="s">
        <v>771</v>
      </c>
      <c r="C223" s="143" t="s">
        <v>39</v>
      </c>
      <c r="D223" s="337">
        <v>45825</v>
      </c>
      <c r="E223" s="337">
        <v>45825</v>
      </c>
      <c r="F223" s="349" t="s">
        <v>664</v>
      </c>
      <c r="G223" s="338"/>
      <c r="H223" s="339"/>
    </row>
    <row r="224" spans="1:8" s="90" customFormat="1" ht="31" hidden="1">
      <c r="A224" s="336" t="s">
        <v>831</v>
      </c>
      <c r="B224" s="319" t="s">
        <v>772</v>
      </c>
      <c r="C224" s="143" t="s">
        <v>39</v>
      </c>
      <c r="D224" s="337">
        <v>45825</v>
      </c>
      <c r="E224" s="337">
        <v>45825</v>
      </c>
      <c r="F224" s="349" t="s">
        <v>664</v>
      </c>
      <c r="G224" s="338"/>
      <c r="H224" s="339"/>
    </row>
    <row r="225" spans="1:8" s="90" customFormat="1" ht="46.5" hidden="1">
      <c r="A225" s="336" t="s">
        <v>832</v>
      </c>
      <c r="B225" s="319" t="s">
        <v>718</v>
      </c>
      <c r="C225" s="143" t="s">
        <v>39</v>
      </c>
      <c r="D225" s="337">
        <v>45826</v>
      </c>
      <c r="E225" s="337">
        <v>45826</v>
      </c>
      <c r="F225" s="349" t="s">
        <v>664</v>
      </c>
      <c r="G225" s="338"/>
      <c r="H225" s="339"/>
    </row>
    <row r="226" spans="1:8" s="90" customFormat="1" ht="46.5" hidden="1">
      <c r="A226" s="336" t="s">
        <v>833</v>
      </c>
      <c r="B226" s="319" t="s">
        <v>776</v>
      </c>
      <c r="C226" s="143" t="s">
        <v>39</v>
      </c>
      <c r="D226" s="337">
        <v>45827</v>
      </c>
      <c r="E226" s="337">
        <v>45827</v>
      </c>
      <c r="F226" s="349" t="s">
        <v>664</v>
      </c>
      <c r="G226" s="338"/>
      <c r="H226" s="339"/>
    </row>
    <row r="227" spans="1:8" s="226" customFormat="1" ht="45" hidden="1" customHeight="1">
      <c r="A227" s="265">
        <v>6</v>
      </c>
      <c r="B227" s="369" t="s">
        <v>537</v>
      </c>
      <c r="C227" s="266"/>
      <c r="D227" s="340"/>
      <c r="E227" s="340"/>
      <c r="F227" s="386" t="s">
        <v>804</v>
      </c>
      <c r="G227" s="267"/>
      <c r="H227" s="265" t="s">
        <v>84</v>
      </c>
    </row>
    <row r="228" spans="1:8" s="90" customFormat="1" ht="36" hidden="1" customHeight="1">
      <c r="A228" s="336" t="s">
        <v>431</v>
      </c>
      <c r="B228" s="319" t="s">
        <v>747</v>
      </c>
      <c r="C228" s="143" t="s">
        <v>39</v>
      </c>
      <c r="D228" s="337">
        <v>45810</v>
      </c>
      <c r="E228" s="337">
        <v>45810</v>
      </c>
      <c r="F228" s="349" t="s">
        <v>664</v>
      </c>
      <c r="G228" s="338"/>
      <c r="H228" s="339"/>
    </row>
    <row r="229" spans="1:8" s="90" customFormat="1" ht="15.5" hidden="1">
      <c r="A229" s="336" t="s">
        <v>435</v>
      </c>
      <c r="B229" s="319" t="s">
        <v>748</v>
      </c>
      <c r="C229" s="143" t="s">
        <v>39</v>
      </c>
      <c r="D229" s="337">
        <v>45810</v>
      </c>
      <c r="E229" s="337">
        <v>45810</v>
      </c>
      <c r="F229" s="349" t="s">
        <v>664</v>
      </c>
      <c r="G229" s="338"/>
      <c r="H229" s="339"/>
    </row>
    <row r="230" spans="1:8" s="90" customFormat="1" ht="15.5" hidden="1">
      <c r="A230" s="336" t="s">
        <v>436</v>
      </c>
      <c r="B230" s="319" t="s">
        <v>749</v>
      </c>
      <c r="C230" s="143" t="s">
        <v>39</v>
      </c>
      <c r="D230" s="337">
        <v>45810</v>
      </c>
      <c r="E230" s="337">
        <v>45810</v>
      </c>
      <c r="F230" s="349" t="s">
        <v>664</v>
      </c>
      <c r="G230" s="338"/>
      <c r="H230" s="339"/>
    </row>
    <row r="231" spans="1:8" s="90" customFormat="1" ht="21" hidden="1" customHeight="1">
      <c r="A231" s="336" t="s">
        <v>437</v>
      </c>
      <c r="B231" s="319" t="s">
        <v>751</v>
      </c>
      <c r="C231" s="143" t="s">
        <v>39</v>
      </c>
      <c r="D231" s="337">
        <v>45811</v>
      </c>
      <c r="E231" s="337">
        <v>45811</v>
      </c>
      <c r="F231" s="349" t="s">
        <v>664</v>
      </c>
      <c r="G231" s="338"/>
      <c r="H231" s="339"/>
    </row>
    <row r="232" spans="1:8" s="90" customFormat="1" ht="21.75" hidden="1" customHeight="1">
      <c r="A232" s="336" t="s">
        <v>438</v>
      </c>
      <c r="B232" s="319" t="s">
        <v>752</v>
      </c>
      <c r="C232" s="143" t="s">
        <v>39</v>
      </c>
      <c r="D232" s="337">
        <v>45812</v>
      </c>
      <c r="E232" s="337">
        <v>45812</v>
      </c>
      <c r="F232" s="349" t="s">
        <v>664</v>
      </c>
      <c r="G232" s="338"/>
      <c r="H232" s="339"/>
    </row>
    <row r="233" spans="1:8" s="90" customFormat="1" ht="28.5" hidden="1" customHeight="1">
      <c r="A233" s="336" t="s">
        <v>444</v>
      </c>
      <c r="B233" s="319" t="s">
        <v>753</v>
      </c>
      <c r="C233" s="143" t="s">
        <v>754</v>
      </c>
      <c r="D233" s="337">
        <v>45813</v>
      </c>
      <c r="E233" s="337">
        <v>45813</v>
      </c>
      <c r="F233" s="349" t="s">
        <v>664</v>
      </c>
      <c r="G233" s="338"/>
      <c r="H233" s="339"/>
    </row>
    <row r="234" spans="1:8" s="90" customFormat="1" ht="31" hidden="1">
      <c r="A234" s="336" t="s">
        <v>834</v>
      </c>
      <c r="B234" s="319" t="s">
        <v>760</v>
      </c>
      <c r="C234" s="143" t="s">
        <v>39</v>
      </c>
      <c r="D234" s="337">
        <v>45814</v>
      </c>
      <c r="E234" s="337">
        <v>45814</v>
      </c>
      <c r="F234" s="349" t="s">
        <v>664</v>
      </c>
      <c r="G234" s="338"/>
      <c r="H234" s="339"/>
    </row>
    <row r="235" spans="1:8" s="90" customFormat="1" ht="31" hidden="1">
      <c r="A235" s="336" t="s">
        <v>835</v>
      </c>
      <c r="B235" s="319" t="s">
        <v>759</v>
      </c>
      <c r="C235" s="143" t="s">
        <v>39</v>
      </c>
      <c r="D235" s="337">
        <v>45814</v>
      </c>
      <c r="E235" s="337">
        <v>45814</v>
      </c>
      <c r="F235" s="349" t="s">
        <v>664</v>
      </c>
      <c r="G235" s="338"/>
      <c r="H235" s="339"/>
    </row>
    <row r="236" spans="1:8" s="90" customFormat="1" ht="42.75" hidden="1" customHeight="1">
      <c r="A236" s="336" t="s">
        <v>836</v>
      </c>
      <c r="B236" s="319" t="s">
        <v>763</v>
      </c>
      <c r="C236" s="143" t="s">
        <v>39</v>
      </c>
      <c r="D236" s="337">
        <v>45817</v>
      </c>
      <c r="E236" s="337">
        <v>45817</v>
      </c>
      <c r="F236" s="349" t="s">
        <v>664</v>
      </c>
      <c r="G236" s="338"/>
      <c r="H236" s="339"/>
    </row>
    <row r="237" spans="1:8" s="90" customFormat="1" ht="31" hidden="1">
      <c r="A237" s="336" t="s">
        <v>837</v>
      </c>
      <c r="B237" s="319" t="s">
        <v>764</v>
      </c>
      <c r="C237" s="143" t="s">
        <v>39</v>
      </c>
      <c r="D237" s="337">
        <v>45818</v>
      </c>
      <c r="E237" s="337">
        <v>45818</v>
      </c>
      <c r="F237" s="349" t="s">
        <v>664</v>
      </c>
      <c r="G237" s="141"/>
      <c r="H237" s="339"/>
    </row>
    <row r="238" spans="1:8" s="90" customFormat="1" ht="46.5" hidden="1">
      <c r="A238" s="336" t="s">
        <v>838</v>
      </c>
      <c r="B238" s="319" t="s">
        <v>767</v>
      </c>
      <c r="C238" s="143" t="s">
        <v>39</v>
      </c>
      <c r="D238" s="337">
        <v>45821</v>
      </c>
      <c r="E238" s="337">
        <v>45821</v>
      </c>
      <c r="F238" s="349" t="s">
        <v>664</v>
      </c>
      <c r="G238" s="338"/>
      <c r="H238" s="339"/>
    </row>
    <row r="239" spans="1:8" s="90" customFormat="1" ht="39" hidden="1" customHeight="1">
      <c r="A239" s="336" t="s">
        <v>839</v>
      </c>
      <c r="B239" s="319" t="s">
        <v>773</v>
      </c>
      <c r="C239" s="143" t="s">
        <v>39</v>
      </c>
      <c r="D239" s="337">
        <v>45826</v>
      </c>
      <c r="E239" s="337">
        <v>45826</v>
      </c>
      <c r="F239" s="349" t="s">
        <v>664</v>
      </c>
      <c r="G239" s="338"/>
      <c r="H239" s="339"/>
    </row>
    <row r="240" spans="1:8" s="90" customFormat="1" ht="31" hidden="1">
      <c r="A240" s="336" t="s">
        <v>840</v>
      </c>
      <c r="B240" s="319" t="s">
        <v>775</v>
      </c>
      <c r="C240" s="143" t="s">
        <v>39</v>
      </c>
      <c r="D240" s="337">
        <v>45827</v>
      </c>
      <c r="E240" s="337">
        <v>45827</v>
      </c>
      <c r="F240" s="349" t="s">
        <v>664</v>
      </c>
      <c r="G240" s="338"/>
      <c r="H240" s="339"/>
    </row>
    <row r="241" spans="1:12" s="90" customFormat="1" ht="25.5" hidden="1" customHeight="1">
      <c r="A241" s="336" t="s">
        <v>841</v>
      </c>
      <c r="B241" s="319" t="s">
        <v>774</v>
      </c>
      <c r="C241" s="143" t="s">
        <v>39</v>
      </c>
      <c r="D241" s="337">
        <v>45827</v>
      </c>
      <c r="E241" s="337">
        <v>45827</v>
      </c>
      <c r="F241" s="349" t="s">
        <v>664</v>
      </c>
      <c r="G241" s="338"/>
      <c r="H241" s="339"/>
    </row>
    <row r="242" spans="1:12" ht="15.5" hidden="1">
      <c r="A242" s="41">
        <v>7</v>
      </c>
      <c r="B242" s="222" t="s">
        <v>547</v>
      </c>
      <c r="C242" s="49"/>
      <c r="D242" s="183"/>
      <c r="E242" s="183"/>
      <c r="F242" s="217"/>
      <c r="G242" s="56"/>
      <c r="H242" s="37"/>
      <c r="L242" s="227"/>
    </row>
    <row r="243" spans="1:12" ht="63.75" hidden="1" customHeight="1">
      <c r="A243" s="48" t="s">
        <v>440</v>
      </c>
      <c r="B243" s="73" t="s">
        <v>289</v>
      </c>
      <c r="C243" s="49" t="s">
        <v>12</v>
      </c>
      <c r="D243" s="183"/>
      <c r="E243" s="183"/>
      <c r="F243" s="387" t="s">
        <v>577</v>
      </c>
      <c r="G243" s="335" t="s">
        <v>795</v>
      </c>
      <c r="H243" s="259" t="s">
        <v>84</v>
      </c>
    </row>
    <row r="244" spans="1:12" ht="72" hidden="1" customHeight="1">
      <c r="A244" s="48" t="s">
        <v>441</v>
      </c>
      <c r="B244" s="73" t="s">
        <v>291</v>
      </c>
      <c r="C244" s="49" t="s">
        <v>12</v>
      </c>
      <c r="D244" s="183">
        <v>45797</v>
      </c>
      <c r="E244" s="183">
        <v>45828</v>
      </c>
      <c r="F244" s="217"/>
      <c r="G244" s="188"/>
      <c r="H244" s="104" t="s">
        <v>556</v>
      </c>
    </row>
    <row r="245" spans="1:12" s="396" customFormat="1" ht="105.75" hidden="1" customHeight="1">
      <c r="A245" s="238" t="s">
        <v>446</v>
      </c>
      <c r="B245" s="362" t="s">
        <v>269</v>
      </c>
      <c r="C245" s="240" t="s">
        <v>12</v>
      </c>
      <c r="D245" s="342">
        <v>45824</v>
      </c>
      <c r="E245" s="342">
        <v>45828</v>
      </c>
      <c r="F245" s="392" t="s">
        <v>796</v>
      </c>
      <c r="G245" s="258" t="s">
        <v>803</v>
      </c>
      <c r="H245" s="395" t="s">
        <v>84</v>
      </c>
    </row>
    <row r="246" spans="1:12" ht="57" hidden="1" customHeight="1">
      <c r="A246" s="41">
        <v>8</v>
      </c>
      <c r="B246" s="355" t="s">
        <v>528</v>
      </c>
      <c r="C246" s="44" t="s">
        <v>12</v>
      </c>
      <c r="D246" s="87" t="s">
        <v>68</v>
      </c>
      <c r="E246" s="87" t="s">
        <v>68</v>
      </c>
      <c r="F246" s="217" t="s">
        <v>846</v>
      </c>
      <c r="G246" s="153" t="s">
        <v>847</v>
      </c>
      <c r="H246" s="259" t="s">
        <v>84</v>
      </c>
    </row>
    <row r="247" spans="1:12" ht="19.5" hidden="1" customHeight="1">
      <c r="A247" s="35" t="s">
        <v>13</v>
      </c>
      <c r="B247" s="358" t="s">
        <v>14</v>
      </c>
      <c r="C247" s="50"/>
      <c r="D247" s="104"/>
      <c r="E247" s="104"/>
      <c r="F247" s="217"/>
      <c r="G247" s="56"/>
      <c r="H247" s="44"/>
    </row>
    <row r="248" spans="1:12" ht="15.5" hidden="1">
      <c r="A248" s="104">
        <v>1</v>
      </c>
      <c r="B248" s="222" t="s">
        <v>550</v>
      </c>
      <c r="C248" s="49"/>
      <c r="D248" s="49"/>
      <c r="E248" s="49"/>
      <c r="F248" s="424"/>
      <c r="G248" s="425"/>
      <c r="H248" s="51"/>
    </row>
    <row r="249" spans="1:12" ht="96" hidden="1" customHeight="1">
      <c r="A249" s="48" t="s">
        <v>552</v>
      </c>
      <c r="B249" s="217" t="s">
        <v>661</v>
      </c>
      <c r="C249" s="43" t="s">
        <v>39</v>
      </c>
      <c r="D249" s="183">
        <v>45799</v>
      </c>
      <c r="E249" s="183">
        <v>45809</v>
      </c>
      <c r="F249" s="217" t="s">
        <v>793</v>
      </c>
      <c r="G249" s="56"/>
      <c r="H249" s="44" t="s">
        <v>84</v>
      </c>
    </row>
    <row r="250" spans="1:12" s="70" customFormat="1" ht="73.5" hidden="1" customHeight="1">
      <c r="A250" s="147" t="s">
        <v>553</v>
      </c>
      <c r="B250" s="185" t="s">
        <v>389</v>
      </c>
      <c r="C250" s="147" t="s">
        <v>12</v>
      </c>
      <c r="D250" s="328">
        <v>45797</v>
      </c>
      <c r="E250" s="328">
        <v>45838</v>
      </c>
      <c r="F250" s="387" t="s">
        <v>798</v>
      </c>
      <c r="G250" s="188" t="s">
        <v>799</v>
      </c>
      <c r="H250" s="44" t="s">
        <v>666</v>
      </c>
    </row>
    <row r="251" spans="1:12" ht="128.25" hidden="1" customHeight="1">
      <c r="A251" s="41">
        <v>2</v>
      </c>
      <c r="B251" s="73" t="s">
        <v>287</v>
      </c>
      <c r="C251" s="49" t="s">
        <v>12</v>
      </c>
      <c r="D251" s="183">
        <v>45802</v>
      </c>
      <c r="E251" s="183">
        <v>45828</v>
      </c>
      <c r="F251" s="217" t="s">
        <v>671</v>
      </c>
      <c r="G251" s="56" t="s">
        <v>792</v>
      </c>
      <c r="H251" s="44" t="s">
        <v>666</v>
      </c>
      <c r="L251" s="228"/>
    </row>
    <row r="252" spans="1:12" ht="104.25" hidden="1" customHeight="1">
      <c r="A252" s="41">
        <v>3</v>
      </c>
      <c r="B252" s="73" t="s">
        <v>266</v>
      </c>
      <c r="C252" s="49" t="s">
        <v>12</v>
      </c>
      <c r="D252" s="183">
        <v>45799</v>
      </c>
      <c r="E252" s="183">
        <v>45828</v>
      </c>
      <c r="F252" s="217" t="s">
        <v>665</v>
      </c>
      <c r="G252" s="56" t="s">
        <v>791</v>
      </c>
      <c r="H252" s="44" t="s">
        <v>666</v>
      </c>
    </row>
    <row r="253" spans="1:12" ht="15.5" hidden="1">
      <c r="A253" s="41">
        <v>4</v>
      </c>
      <c r="B253" s="310" t="s">
        <v>794</v>
      </c>
      <c r="C253" s="49"/>
      <c r="D253" s="183"/>
      <c r="E253" s="183"/>
      <c r="F253" s="217"/>
      <c r="G253" s="56"/>
      <c r="H253" s="37"/>
    </row>
    <row r="254" spans="1:12" s="52" customFormat="1" ht="93" hidden="1" customHeight="1">
      <c r="A254" s="44" t="s">
        <v>346</v>
      </c>
      <c r="B254" s="217" t="s">
        <v>566</v>
      </c>
      <c r="C254" s="44" t="s">
        <v>12</v>
      </c>
      <c r="D254" s="183"/>
      <c r="E254" s="183"/>
      <c r="F254" s="217" t="s">
        <v>679</v>
      </c>
      <c r="G254" s="217" t="s">
        <v>565</v>
      </c>
      <c r="H254" s="216" t="s">
        <v>556</v>
      </c>
    </row>
    <row r="255" spans="1:12" ht="85.5" hidden="1" customHeight="1">
      <c r="A255" s="48" t="s">
        <v>347</v>
      </c>
      <c r="B255" s="217" t="s">
        <v>705</v>
      </c>
      <c r="C255" s="43" t="s">
        <v>39</v>
      </c>
      <c r="D255" s="183">
        <v>45812</v>
      </c>
      <c r="E255" s="183">
        <v>45814</v>
      </c>
      <c r="F255" s="381" t="s">
        <v>800</v>
      </c>
      <c r="G255" s="56" t="s">
        <v>797</v>
      </c>
      <c r="H255" s="198" t="s">
        <v>84</v>
      </c>
    </row>
    <row r="256" spans="1:12" ht="45.5" hidden="1">
      <c r="A256" s="104">
        <v>5</v>
      </c>
      <c r="B256" s="222" t="s">
        <v>843</v>
      </c>
      <c r="C256" s="49" t="s">
        <v>12</v>
      </c>
      <c r="D256" s="183"/>
      <c r="E256" s="183"/>
      <c r="F256" s="217" t="s">
        <v>549</v>
      </c>
      <c r="G256" s="188" t="s">
        <v>548</v>
      </c>
      <c r="H256" s="223" t="s">
        <v>678</v>
      </c>
    </row>
    <row r="257" spans="1:8" s="52" customFormat="1" ht="15.5" hidden="1">
      <c r="A257" s="36" t="s">
        <v>174</v>
      </c>
      <c r="B257" s="358" t="s">
        <v>173</v>
      </c>
      <c r="C257" s="49"/>
      <c r="D257" s="74"/>
      <c r="E257" s="74"/>
      <c r="F257" s="73"/>
      <c r="G257" s="50"/>
      <c r="H257" s="218"/>
    </row>
    <row r="258" spans="1:8" s="52" customFormat="1" ht="103.5" hidden="1" customHeight="1">
      <c r="A258" s="104">
        <v>1</v>
      </c>
      <c r="B258" s="352" t="s">
        <v>182</v>
      </c>
      <c r="C258" s="459" t="s">
        <v>853</v>
      </c>
      <c r="D258" s="460"/>
      <c r="E258" s="460"/>
      <c r="F258" s="460"/>
      <c r="G258" s="460"/>
      <c r="H258" s="460"/>
    </row>
    <row r="259" spans="1:8" s="52" customFormat="1" ht="32.25" hidden="1" customHeight="1">
      <c r="A259" s="104">
        <v>2</v>
      </c>
      <c r="B259" s="352" t="s">
        <v>183</v>
      </c>
      <c r="C259" s="461" t="s">
        <v>848</v>
      </c>
      <c r="D259" s="462"/>
      <c r="E259" s="462"/>
      <c r="F259" s="462"/>
      <c r="G259" s="462"/>
      <c r="H259" s="462"/>
    </row>
    <row r="260" spans="1:8" ht="15.5" hidden="1">
      <c r="A260" s="110" t="s">
        <v>634</v>
      </c>
      <c r="B260" s="370"/>
      <c r="C260" s="108"/>
      <c r="D260" s="329"/>
      <c r="E260" s="329"/>
      <c r="F260" s="370"/>
      <c r="G260" s="108"/>
      <c r="H260" s="197"/>
    </row>
    <row r="261" spans="1:8" hidden="1">
      <c r="A261" s="437" t="s">
        <v>2</v>
      </c>
      <c r="B261" s="439" t="s">
        <v>3</v>
      </c>
      <c r="C261" s="441" t="s">
        <v>4</v>
      </c>
      <c r="D261" s="443" t="s">
        <v>5</v>
      </c>
      <c r="E261" s="443"/>
      <c r="F261" s="437" t="s">
        <v>111</v>
      </c>
      <c r="G261" s="437"/>
      <c r="H261" s="444" t="s">
        <v>66</v>
      </c>
    </row>
    <row r="262" spans="1:8" hidden="1">
      <c r="A262" s="438"/>
      <c r="B262" s="440"/>
      <c r="C262" s="442"/>
      <c r="D262" s="123" t="s">
        <v>8</v>
      </c>
      <c r="E262" s="123" t="s">
        <v>9</v>
      </c>
      <c r="F262" s="438"/>
      <c r="G262" s="438"/>
      <c r="H262" s="445"/>
    </row>
    <row r="263" spans="1:8" ht="15.5" hidden="1">
      <c r="A263" s="35" t="s">
        <v>10</v>
      </c>
      <c r="B263" s="358" t="s">
        <v>11</v>
      </c>
      <c r="C263" s="44"/>
      <c r="D263" s="322"/>
      <c r="E263" s="322"/>
      <c r="F263" s="426"/>
      <c r="G263" s="426"/>
      <c r="H263" s="44"/>
    </row>
    <row r="264" spans="1:8" ht="50.25" hidden="1" customHeight="1">
      <c r="A264" s="48">
        <v>1</v>
      </c>
      <c r="B264" s="214" t="s">
        <v>528</v>
      </c>
      <c r="C264" s="44" t="s">
        <v>12</v>
      </c>
      <c r="D264" s="87" t="s">
        <v>68</v>
      </c>
      <c r="E264" s="87" t="s">
        <v>68</v>
      </c>
      <c r="F264" s="424" t="s">
        <v>580</v>
      </c>
      <c r="G264" s="456"/>
      <c r="H264" s="44"/>
    </row>
    <row r="265" spans="1:8" s="70" customFormat="1" ht="36.75" hidden="1" customHeight="1">
      <c r="A265" s="316">
        <v>2</v>
      </c>
      <c r="B265" s="185" t="s">
        <v>675</v>
      </c>
      <c r="C265" s="154" t="s">
        <v>12</v>
      </c>
      <c r="D265" s="186">
        <v>45829</v>
      </c>
      <c r="E265" s="186">
        <v>45858</v>
      </c>
      <c r="F265" s="457" t="s">
        <v>852</v>
      </c>
      <c r="G265" s="457"/>
      <c r="H265" s="317">
        <v>26000000</v>
      </c>
    </row>
    <row r="266" spans="1:8" ht="15.5" hidden="1">
      <c r="A266" s="35" t="s">
        <v>13</v>
      </c>
      <c r="B266" s="353" t="s">
        <v>14</v>
      </c>
      <c r="C266" s="50"/>
      <c r="D266" s="323"/>
      <c r="E266" s="323"/>
      <c r="F266" s="423"/>
      <c r="G266" s="423"/>
      <c r="H266" s="44"/>
    </row>
    <row r="267" spans="1:8" ht="15.5" hidden="1">
      <c r="A267" s="63">
        <v>1</v>
      </c>
      <c r="B267" s="222" t="s">
        <v>550</v>
      </c>
      <c r="C267" s="49"/>
      <c r="D267" s="49"/>
      <c r="E267" s="49"/>
      <c r="F267" s="424"/>
      <c r="G267" s="425"/>
      <c r="H267" s="51"/>
    </row>
    <row r="268" spans="1:8" s="70" customFormat="1" ht="73.5" hidden="1" customHeight="1">
      <c r="A268" s="147" t="s">
        <v>552</v>
      </c>
      <c r="B268" s="185" t="s">
        <v>389</v>
      </c>
      <c r="C268" s="147" t="s">
        <v>12</v>
      </c>
      <c r="D268" s="186">
        <v>45797</v>
      </c>
      <c r="E268" s="186">
        <v>45838</v>
      </c>
      <c r="F268" s="457" t="s">
        <v>849</v>
      </c>
      <c r="G268" s="458"/>
      <c r="H268" s="313"/>
    </row>
    <row r="269" spans="1:8" s="90" customFormat="1" ht="45.75" hidden="1" customHeight="1">
      <c r="A269" s="177" t="s">
        <v>553</v>
      </c>
      <c r="B269" s="319" t="s">
        <v>672</v>
      </c>
      <c r="C269" s="146" t="s">
        <v>12</v>
      </c>
      <c r="D269" s="178">
        <v>45829</v>
      </c>
      <c r="E269" s="178">
        <v>45838</v>
      </c>
      <c r="F269" s="424" t="s">
        <v>676</v>
      </c>
      <c r="G269" s="456"/>
      <c r="H269" s="313"/>
    </row>
    <row r="270" spans="1:8" s="90" customFormat="1" ht="57" hidden="1" customHeight="1">
      <c r="A270" s="177" t="s">
        <v>555</v>
      </c>
      <c r="B270" s="319" t="s">
        <v>673</v>
      </c>
      <c r="C270" s="146" t="s">
        <v>12</v>
      </c>
      <c r="D270" s="178">
        <v>45839</v>
      </c>
      <c r="E270" s="178">
        <v>45858</v>
      </c>
      <c r="F270" s="424" t="s">
        <v>677</v>
      </c>
      <c r="G270" s="456"/>
      <c r="H270" s="320"/>
    </row>
    <row r="271" spans="1:8" s="90" customFormat="1" ht="75.75" hidden="1" customHeight="1">
      <c r="A271" s="177" t="s">
        <v>562</v>
      </c>
      <c r="B271" s="319" t="s">
        <v>674</v>
      </c>
      <c r="C271" s="146" t="s">
        <v>12</v>
      </c>
      <c r="D271" s="178">
        <v>45831</v>
      </c>
      <c r="E271" s="178">
        <v>45858</v>
      </c>
      <c r="F271" s="424" t="s">
        <v>802</v>
      </c>
      <c r="G271" s="456"/>
      <c r="H271" s="320"/>
    </row>
    <row r="272" spans="1:8" ht="54.75" hidden="1" customHeight="1">
      <c r="A272" s="44" t="s">
        <v>632</v>
      </c>
      <c r="B272" s="73" t="s">
        <v>680</v>
      </c>
      <c r="C272" s="49" t="s">
        <v>12</v>
      </c>
      <c r="D272" s="93">
        <v>45831</v>
      </c>
      <c r="E272" s="93">
        <v>45858</v>
      </c>
      <c r="F272" s="424" t="s">
        <v>681</v>
      </c>
      <c r="G272" s="456"/>
      <c r="H272" s="51"/>
    </row>
    <row r="273" spans="1:8" ht="25.5" hidden="1" customHeight="1">
      <c r="A273" s="104">
        <v>2</v>
      </c>
      <c r="B273" s="310" t="s">
        <v>564</v>
      </c>
      <c r="C273" s="49"/>
      <c r="D273" s="93"/>
      <c r="E273" s="93"/>
      <c r="F273" s="217"/>
      <c r="G273" s="56"/>
      <c r="H273" s="37"/>
    </row>
    <row r="274" spans="1:8" s="52" customFormat="1" ht="102" hidden="1" customHeight="1">
      <c r="A274" s="44" t="s">
        <v>567</v>
      </c>
      <c r="B274" s="217" t="s">
        <v>575</v>
      </c>
      <c r="C274" s="44" t="s">
        <v>12</v>
      </c>
      <c r="D274" s="93">
        <v>45829</v>
      </c>
      <c r="E274" s="93">
        <v>45858</v>
      </c>
      <c r="F274" s="424" t="s">
        <v>801</v>
      </c>
      <c r="G274" s="425"/>
      <c r="H274" s="216"/>
    </row>
    <row r="275" spans="1:8" s="52" customFormat="1" ht="53.25" hidden="1" customHeight="1">
      <c r="A275" s="44">
        <v>3</v>
      </c>
      <c r="B275" s="217" t="s">
        <v>850</v>
      </c>
      <c r="C275" s="44" t="s">
        <v>39</v>
      </c>
      <c r="D275" s="93">
        <v>45831</v>
      </c>
      <c r="E275" s="93"/>
      <c r="F275" s="424" t="s">
        <v>851</v>
      </c>
      <c r="G275" s="456"/>
      <c r="H275" s="216"/>
    </row>
    <row r="276" spans="1:8" ht="71.25" hidden="1" customHeight="1">
      <c r="A276" s="44">
        <v>4</v>
      </c>
      <c r="B276" s="73" t="s">
        <v>573</v>
      </c>
      <c r="C276" s="49" t="s">
        <v>12</v>
      </c>
      <c r="D276" s="93"/>
      <c r="E276" s="93"/>
      <c r="F276" s="422" t="s">
        <v>549</v>
      </c>
      <c r="G276" s="423"/>
      <c r="H276" s="318"/>
    </row>
    <row r="277" spans="1:8" ht="16" thickBot="1">
      <c r="A277" s="124"/>
      <c r="B277" s="371"/>
      <c r="C277" s="229"/>
      <c r="D277" s="330"/>
      <c r="E277" s="330"/>
      <c r="F277" s="388"/>
      <c r="G277" s="230"/>
      <c r="H277" s="231"/>
    </row>
    <row r="278" spans="1:8" ht="20.25" customHeight="1" thickTop="1">
      <c r="A278" s="232" t="s">
        <v>35</v>
      </c>
      <c r="B278" s="372"/>
      <c r="C278" s="233"/>
      <c r="D278" s="331"/>
      <c r="E278" s="331"/>
      <c r="F278" s="372"/>
      <c r="G278" s="233"/>
      <c r="H278" s="234"/>
    </row>
    <row r="279" spans="1:8" ht="15">
      <c r="A279" s="446" t="s">
        <v>478</v>
      </c>
      <c r="B279" s="447"/>
      <c r="C279" s="447"/>
      <c r="D279" s="447"/>
      <c r="E279" s="447"/>
      <c r="F279" s="447"/>
      <c r="G279" s="447"/>
      <c r="H279" s="448"/>
    </row>
    <row r="280" spans="1:8" s="34" customFormat="1" ht="15.75" customHeight="1">
      <c r="A280" s="449" t="s">
        <v>2</v>
      </c>
      <c r="B280" s="451" t="s">
        <v>3</v>
      </c>
      <c r="C280" s="449" t="s">
        <v>4</v>
      </c>
      <c r="D280" s="453" t="s">
        <v>5</v>
      </c>
      <c r="E280" s="454"/>
      <c r="F280" s="451" t="s">
        <v>6</v>
      </c>
      <c r="G280" s="449" t="s">
        <v>7</v>
      </c>
      <c r="H280" s="455" t="s">
        <v>392</v>
      </c>
    </row>
    <row r="281" spans="1:8" s="34" customFormat="1" ht="15.5">
      <c r="A281" s="450"/>
      <c r="B281" s="452"/>
      <c r="C281" s="450"/>
      <c r="D281" s="86" t="s">
        <v>8</v>
      </c>
      <c r="E281" s="86" t="s">
        <v>9</v>
      </c>
      <c r="F281" s="452"/>
      <c r="G281" s="450"/>
      <c r="H281" s="455"/>
    </row>
    <row r="282" spans="1:8" ht="15.5" hidden="1">
      <c r="A282" s="35" t="s">
        <v>10</v>
      </c>
      <c r="B282" s="358" t="s">
        <v>11</v>
      </c>
      <c r="C282" s="37"/>
      <c r="D282" s="322"/>
      <c r="E282" s="322"/>
      <c r="F282" s="380"/>
      <c r="G282" s="38"/>
      <c r="H282" s="48"/>
    </row>
    <row r="283" spans="1:8" ht="46.5" hidden="1">
      <c r="A283" s="41">
        <v>1</v>
      </c>
      <c r="B283" s="73" t="s">
        <v>67</v>
      </c>
      <c r="C283" s="43" t="s">
        <v>12</v>
      </c>
      <c r="D283" s="87" t="s">
        <v>68</v>
      </c>
      <c r="E283" s="87" t="s">
        <v>68</v>
      </c>
      <c r="F283" s="354" t="s">
        <v>69</v>
      </c>
      <c r="G283" s="46" t="s">
        <v>70</v>
      </c>
      <c r="H283" s="48" t="s">
        <v>84</v>
      </c>
    </row>
    <row r="284" spans="1:8" ht="46.5" hidden="1">
      <c r="A284" s="41">
        <v>2</v>
      </c>
      <c r="B284" s="73" t="s">
        <v>71</v>
      </c>
      <c r="C284" s="43" t="s">
        <v>12</v>
      </c>
      <c r="D284" s="87" t="s">
        <v>68</v>
      </c>
      <c r="E284" s="87" t="s">
        <v>68</v>
      </c>
      <c r="F284" s="354" t="s">
        <v>72</v>
      </c>
      <c r="G284" s="46" t="s">
        <v>70</v>
      </c>
      <c r="H284" s="48" t="s">
        <v>84</v>
      </c>
    </row>
    <row r="285" spans="1:8" ht="51.75" hidden="1" customHeight="1">
      <c r="A285" s="248">
        <v>3</v>
      </c>
      <c r="B285" s="373" t="s">
        <v>73</v>
      </c>
      <c r="C285" s="249"/>
      <c r="D285" s="250"/>
      <c r="E285" s="250"/>
      <c r="F285" s="389" t="s">
        <v>74</v>
      </c>
      <c r="G285" s="251"/>
      <c r="H285" s="252" t="s">
        <v>84</v>
      </c>
    </row>
    <row r="286" spans="1:8" s="52" customFormat="1" ht="46.5" hidden="1" customHeight="1">
      <c r="A286" s="48" t="s">
        <v>75</v>
      </c>
      <c r="B286" s="217" t="s">
        <v>488</v>
      </c>
      <c r="C286" s="43" t="s">
        <v>39</v>
      </c>
      <c r="D286" s="93">
        <v>45768</v>
      </c>
      <c r="E286" s="93">
        <v>45768</v>
      </c>
      <c r="F286" s="354" t="s">
        <v>489</v>
      </c>
      <c r="G286" s="50" t="s">
        <v>70</v>
      </c>
      <c r="H286" s="51"/>
    </row>
    <row r="287" spans="1:8" s="52" customFormat="1" ht="31" hidden="1">
      <c r="A287" s="44" t="s">
        <v>78</v>
      </c>
      <c r="B287" s="73" t="s">
        <v>490</v>
      </c>
      <c r="C287" s="43" t="s">
        <v>39</v>
      </c>
      <c r="D287" s="93">
        <v>45768</v>
      </c>
      <c r="E287" s="93">
        <v>45768</v>
      </c>
      <c r="F287" s="354" t="s">
        <v>491</v>
      </c>
      <c r="G287" s="50" t="s">
        <v>70</v>
      </c>
      <c r="H287" s="51"/>
    </row>
    <row r="288" spans="1:8" s="52" customFormat="1" ht="31" hidden="1">
      <c r="A288" s="48" t="s">
        <v>82</v>
      </c>
      <c r="B288" s="214" t="s">
        <v>492</v>
      </c>
      <c r="C288" s="43" t="s">
        <v>39</v>
      </c>
      <c r="D288" s="93">
        <v>45768</v>
      </c>
      <c r="E288" s="93">
        <v>45768</v>
      </c>
      <c r="F288" s="214" t="s">
        <v>493</v>
      </c>
      <c r="G288" s="50" t="s">
        <v>70</v>
      </c>
      <c r="H288" s="51"/>
    </row>
    <row r="289" spans="1:8" s="52" customFormat="1" ht="31" hidden="1">
      <c r="A289" s="44" t="s">
        <v>85</v>
      </c>
      <c r="B289" s="73" t="s">
        <v>494</v>
      </c>
      <c r="C289" s="49" t="s">
        <v>39</v>
      </c>
      <c r="D289" s="93">
        <v>45768</v>
      </c>
      <c r="E289" s="93">
        <v>45768</v>
      </c>
      <c r="F289" s="214" t="s">
        <v>493</v>
      </c>
      <c r="G289" s="42" t="s">
        <v>70</v>
      </c>
      <c r="H289" s="51"/>
    </row>
    <row r="290" spans="1:8" s="52" customFormat="1" ht="31" hidden="1">
      <c r="A290" s="48" t="s">
        <v>88</v>
      </c>
      <c r="B290" s="214" t="s">
        <v>495</v>
      </c>
      <c r="C290" s="49" t="s">
        <v>39</v>
      </c>
      <c r="D290" s="93">
        <v>45773</v>
      </c>
      <c r="E290" s="93">
        <v>45773</v>
      </c>
      <c r="F290" s="217" t="s">
        <v>493</v>
      </c>
      <c r="G290" s="42" t="s">
        <v>70</v>
      </c>
      <c r="H290" s="51"/>
    </row>
    <row r="291" spans="1:8" s="52" customFormat="1" ht="31" hidden="1">
      <c r="A291" s="44" t="s">
        <v>92</v>
      </c>
      <c r="B291" s="214" t="s">
        <v>496</v>
      </c>
      <c r="C291" s="43" t="s">
        <v>39</v>
      </c>
      <c r="D291" s="93">
        <v>45775</v>
      </c>
      <c r="E291" s="93">
        <v>45775</v>
      </c>
      <c r="F291" s="214" t="s">
        <v>493</v>
      </c>
      <c r="G291" s="42" t="s">
        <v>70</v>
      </c>
      <c r="H291" s="51"/>
    </row>
    <row r="292" spans="1:8" s="52" customFormat="1" ht="46.5" hidden="1">
      <c r="A292" s="48" t="s">
        <v>94</v>
      </c>
      <c r="B292" s="214" t="s">
        <v>497</v>
      </c>
      <c r="C292" s="43" t="s">
        <v>39</v>
      </c>
      <c r="D292" s="93">
        <v>45775</v>
      </c>
      <c r="E292" s="93">
        <v>45775</v>
      </c>
      <c r="F292" s="214" t="s">
        <v>493</v>
      </c>
      <c r="G292" s="50" t="s">
        <v>70</v>
      </c>
      <c r="H292" s="51"/>
    </row>
    <row r="293" spans="1:8" s="52" customFormat="1" ht="15.5" hidden="1">
      <c r="A293" s="44" t="s">
        <v>96</v>
      </c>
      <c r="B293" s="73" t="s">
        <v>498</v>
      </c>
      <c r="C293" s="49" t="s">
        <v>39</v>
      </c>
      <c r="D293" s="93">
        <v>45782</v>
      </c>
      <c r="E293" s="93">
        <v>45782</v>
      </c>
      <c r="F293" s="214" t="s">
        <v>499</v>
      </c>
      <c r="G293" s="50" t="s">
        <v>70</v>
      </c>
      <c r="H293" s="51"/>
    </row>
    <row r="294" spans="1:8" s="52" customFormat="1" ht="62" hidden="1">
      <c r="A294" s="44" t="s">
        <v>100</v>
      </c>
      <c r="B294" s="73" t="s">
        <v>500</v>
      </c>
      <c r="C294" s="49" t="s">
        <v>39</v>
      </c>
      <c r="D294" s="93">
        <v>45783</v>
      </c>
      <c r="E294" s="93">
        <v>45783</v>
      </c>
      <c r="F294" s="214" t="s">
        <v>493</v>
      </c>
      <c r="G294" s="50" t="s">
        <v>70</v>
      </c>
      <c r="H294" s="51"/>
    </row>
    <row r="295" spans="1:8" s="52" customFormat="1" ht="54.75" hidden="1" customHeight="1">
      <c r="A295" s="57" t="s">
        <v>316</v>
      </c>
      <c r="B295" s="214" t="s">
        <v>501</v>
      </c>
      <c r="C295" s="49" t="s">
        <v>39</v>
      </c>
      <c r="D295" s="93">
        <v>45783</v>
      </c>
      <c r="E295" s="93">
        <v>45783</v>
      </c>
      <c r="F295" s="214" t="s">
        <v>493</v>
      </c>
      <c r="G295" s="50" t="s">
        <v>70</v>
      </c>
      <c r="H295" s="51"/>
    </row>
    <row r="296" spans="1:8" s="52" customFormat="1" ht="62" hidden="1">
      <c r="A296" s="253" t="s">
        <v>319</v>
      </c>
      <c r="B296" s="374" t="s">
        <v>502</v>
      </c>
      <c r="C296" s="254" t="s">
        <v>39</v>
      </c>
      <c r="D296" s="255">
        <v>45784</v>
      </c>
      <c r="E296" s="255">
        <v>45784</v>
      </c>
      <c r="F296" s="389" t="s">
        <v>503</v>
      </c>
      <c r="G296" s="256" t="s">
        <v>70</v>
      </c>
      <c r="H296" s="257"/>
    </row>
    <row r="297" spans="1:8" s="52" customFormat="1" ht="62" hidden="1">
      <c r="A297" s="57" t="s">
        <v>322</v>
      </c>
      <c r="B297" s="214" t="s">
        <v>504</v>
      </c>
      <c r="C297" s="49" t="s">
        <v>39</v>
      </c>
      <c r="D297" s="93">
        <v>45789</v>
      </c>
      <c r="E297" s="93">
        <v>45789</v>
      </c>
      <c r="F297" s="214" t="s">
        <v>493</v>
      </c>
      <c r="G297" s="50" t="s">
        <v>70</v>
      </c>
      <c r="H297" s="51"/>
    </row>
    <row r="298" spans="1:8" s="52" customFormat="1" ht="46.5" hidden="1">
      <c r="A298" s="48" t="s">
        <v>325</v>
      </c>
      <c r="B298" s="214" t="s">
        <v>505</v>
      </c>
      <c r="C298" s="49" t="s">
        <v>39</v>
      </c>
      <c r="D298" s="93">
        <v>45789</v>
      </c>
      <c r="E298" s="93">
        <v>45789</v>
      </c>
      <c r="F298" s="214" t="s">
        <v>493</v>
      </c>
      <c r="G298" s="50" t="s">
        <v>70</v>
      </c>
      <c r="H298" s="51"/>
    </row>
    <row r="299" spans="1:8" s="52" customFormat="1" ht="113.25" hidden="1" customHeight="1">
      <c r="A299" s="44" t="s">
        <v>328</v>
      </c>
      <c r="B299" s="214" t="s">
        <v>506</v>
      </c>
      <c r="C299" s="49" t="s">
        <v>39</v>
      </c>
      <c r="D299" s="93">
        <v>45789</v>
      </c>
      <c r="E299" s="93">
        <v>45789</v>
      </c>
      <c r="F299" s="354" t="s">
        <v>507</v>
      </c>
      <c r="G299" s="50" t="s">
        <v>70</v>
      </c>
      <c r="H299" s="51"/>
    </row>
    <row r="300" spans="1:8" s="52" customFormat="1" ht="38.25" hidden="1" customHeight="1">
      <c r="A300" s="48" t="s">
        <v>331</v>
      </c>
      <c r="B300" s="214" t="s">
        <v>508</v>
      </c>
      <c r="C300" s="49" t="s">
        <v>39</v>
      </c>
      <c r="D300" s="93">
        <v>45789</v>
      </c>
      <c r="E300" s="93">
        <v>45789</v>
      </c>
      <c r="F300" s="214" t="s">
        <v>493</v>
      </c>
      <c r="G300" s="50" t="s">
        <v>70</v>
      </c>
      <c r="H300" s="51"/>
    </row>
    <row r="301" spans="1:8" s="52" customFormat="1" ht="89.25" hidden="1" customHeight="1">
      <c r="A301" s="44" t="s">
        <v>334</v>
      </c>
      <c r="B301" s="214" t="s">
        <v>509</v>
      </c>
      <c r="C301" s="49" t="s">
        <v>39</v>
      </c>
      <c r="D301" s="93">
        <v>45790</v>
      </c>
      <c r="E301" s="93">
        <v>45790</v>
      </c>
      <c r="F301" s="354" t="s">
        <v>510</v>
      </c>
      <c r="G301" s="50" t="s">
        <v>70</v>
      </c>
      <c r="H301" s="51"/>
    </row>
    <row r="302" spans="1:8" s="52" customFormat="1" ht="15.5" hidden="1">
      <c r="A302" s="48" t="s">
        <v>511</v>
      </c>
      <c r="B302" s="214" t="s">
        <v>512</v>
      </c>
      <c r="C302" s="49" t="s">
        <v>39</v>
      </c>
      <c r="D302" s="93">
        <v>45790</v>
      </c>
      <c r="E302" s="93">
        <v>45790</v>
      </c>
      <c r="F302" s="354" t="s">
        <v>493</v>
      </c>
      <c r="G302" s="50" t="s">
        <v>70</v>
      </c>
      <c r="H302" s="51"/>
    </row>
    <row r="303" spans="1:8" s="52" customFormat="1" ht="15.5" hidden="1">
      <c r="A303" s="44" t="s">
        <v>513</v>
      </c>
      <c r="B303" s="214" t="s">
        <v>514</v>
      </c>
      <c r="C303" s="49" t="s">
        <v>39</v>
      </c>
      <c r="D303" s="93">
        <v>45791</v>
      </c>
      <c r="E303" s="93">
        <v>45791</v>
      </c>
      <c r="F303" s="214" t="s">
        <v>493</v>
      </c>
      <c r="G303" s="50" t="s">
        <v>70</v>
      </c>
      <c r="H303" s="51"/>
    </row>
    <row r="304" spans="1:8" s="52" customFormat="1" ht="31" hidden="1">
      <c r="A304" s="48" t="s">
        <v>515</v>
      </c>
      <c r="B304" s="214" t="s">
        <v>516</v>
      </c>
      <c r="C304" s="49" t="s">
        <v>12</v>
      </c>
      <c r="D304" s="93">
        <v>45791</v>
      </c>
      <c r="E304" s="93">
        <v>45791</v>
      </c>
      <c r="F304" s="214" t="s">
        <v>493</v>
      </c>
      <c r="G304" s="50" t="s">
        <v>70</v>
      </c>
      <c r="H304" s="51"/>
    </row>
    <row r="305" spans="1:8" s="52" customFormat="1" ht="77.5" hidden="1">
      <c r="A305" s="44" t="s">
        <v>517</v>
      </c>
      <c r="B305" s="214" t="s">
        <v>518</v>
      </c>
      <c r="C305" s="49" t="s">
        <v>39</v>
      </c>
      <c r="D305" s="93">
        <v>45791</v>
      </c>
      <c r="E305" s="93">
        <v>45791</v>
      </c>
      <c r="F305" s="354" t="s">
        <v>519</v>
      </c>
      <c r="G305" s="50" t="s">
        <v>70</v>
      </c>
      <c r="H305" s="51"/>
    </row>
    <row r="306" spans="1:8" s="52" customFormat="1" ht="124" hidden="1">
      <c r="A306" s="104">
        <v>4</v>
      </c>
      <c r="B306" s="215" t="s">
        <v>584</v>
      </c>
      <c r="C306" s="49" t="s">
        <v>39</v>
      </c>
      <c r="D306" s="93">
        <v>45795</v>
      </c>
      <c r="E306" s="93">
        <v>45796</v>
      </c>
      <c r="F306" s="215" t="s">
        <v>380</v>
      </c>
      <c r="G306" s="193" t="s">
        <v>583</v>
      </c>
      <c r="H306" s="198" t="s">
        <v>84</v>
      </c>
    </row>
    <row r="307" spans="1:8" ht="15.5" hidden="1">
      <c r="A307" s="58" t="s">
        <v>13</v>
      </c>
      <c r="B307" s="375" t="s">
        <v>14</v>
      </c>
      <c r="C307" s="60"/>
      <c r="D307" s="88"/>
      <c r="E307" s="88"/>
      <c r="F307" s="354"/>
      <c r="G307" s="56"/>
      <c r="H307" s="44"/>
    </row>
    <row r="308" spans="1:8" s="52" customFormat="1" ht="65.25" hidden="1" customHeight="1">
      <c r="A308" s="44">
        <v>1</v>
      </c>
      <c r="B308" s="214" t="s">
        <v>520</v>
      </c>
      <c r="C308" s="43" t="s">
        <v>12</v>
      </c>
      <c r="D308" s="93">
        <v>45776</v>
      </c>
      <c r="E308" s="93">
        <v>45787</v>
      </c>
      <c r="F308" s="354" t="s">
        <v>525</v>
      </c>
      <c r="G308" s="50" t="s">
        <v>70</v>
      </c>
      <c r="H308" s="44" t="s">
        <v>84</v>
      </c>
    </row>
    <row r="309" spans="1:8" s="52" customFormat="1" ht="62.25" hidden="1" customHeight="1">
      <c r="A309" s="48">
        <v>2</v>
      </c>
      <c r="B309" s="73" t="s">
        <v>521</v>
      </c>
      <c r="C309" s="43" t="s">
        <v>12</v>
      </c>
      <c r="D309" s="93">
        <v>45783</v>
      </c>
      <c r="E309" s="93">
        <v>45792</v>
      </c>
      <c r="F309" s="354" t="s">
        <v>522</v>
      </c>
      <c r="G309" s="50" t="s">
        <v>70</v>
      </c>
      <c r="H309" s="44" t="s">
        <v>84</v>
      </c>
    </row>
    <row r="310" spans="1:8" s="52" customFormat="1" ht="46.5" hidden="1" customHeight="1">
      <c r="A310" s="44">
        <v>3</v>
      </c>
      <c r="B310" s="214" t="s">
        <v>523</v>
      </c>
      <c r="C310" s="43" t="s">
        <v>12</v>
      </c>
      <c r="D310" s="93">
        <v>45776</v>
      </c>
      <c r="E310" s="93">
        <v>45784</v>
      </c>
      <c r="F310" s="354" t="s">
        <v>524</v>
      </c>
      <c r="G310" s="50" t="s">
        <v>70</v>
      </c>
      <c r="H310" s="44" t="s">
        <v>84</v>
      </c>
    </row>
    <row r="311" spans="1:8" ht="55.5" hidden="1" customHeight="1">
      <c r="A311" s="44">
        <v>4</v>
      </c>
      <c r="B311" s="73" t="s">
        <v>164</v>
      </c>
      <c r="C311" s="43" t="s">
        <v>39</v>
      </c>
      <c r="D311" s="93">
        <v>45748</v>
      </c>
      <c r="E311" s="93">
        <v>45829</v>
      </c>
      <c r="F311" s="217" t="s">
        <v>165</v>
      </c>
      <c r="G311" s="50" t="s">
        <v>531</v>
      </c>
      <c r="H311" s="44" t="s">
        <v>582</v>
      </c>
    </row>
    <row r="312" spans="1:8" ht="96" hidden="1" customHeight="1">
      <c r="A312" s="44">
        <v>5</v>
      </c>
      <c r="B312" s="73" t="s">
        <v>166</v>
      </c>
      <c r="C312" s="44" t="s">
        <v>12</v>
      </c>
      <c r="D312" s="93">
        <v>45740</v>
      </c>
      <c r="E312" s="93">
        <v>45829</v>
      </c>
      <c r="F312" s="217" t="s">
        <v>167</v>
      </c>
      <c r="G312" s="50" t="s">
        <v>531</v>
      </c>
      <c r="H312" s="198" t="s">
        <v>582</v>
      </c>
    </row>
    <row r="313" spans="1:8" s="52" customFormat="1" ht="15.5" hidden="1">
      <c r="A313" s="36" t="s">
        <v>174</v>
      </c>
      <c r="B313" s="358" t="s">
        <v>173</v>
      </c>
      <c r="C313" s="49"/>
      <c r="D313" s="74"/>
      <c r="E313" s="74"/>
      <c r="F313" s="73"/>
      <c r="G313" s="50"/>
      <c r="H313" s="218"/>
    </row>
    <row r="314" spans="1:8" s="52" customFormat="1" ht="58.5" hidden="1" customHeight="1">
      <c r="A314" s="104">
        <v>1</v>
      </c>
      <c r="B314" s="352" t="s">
        <v>182</v>
      </c>
      <c r="C314" s="434" t="s">
        <v>530</v>
      </c>
      <c r="D314" s="435"/>
      <c r="E314" s="435"/>
      <c r="F314" s="435"/>
      <c r="G314" s="435"/>
      <c r="H314" s="435"/>
    </row>
    <row r="315" spans="1:8" s="52" customFormat="1" ht="24.75" hidden="1" customHeight="1">
      <c r="A315" s="104">
        <v>2</v>
      </c>
      <c r="B315" s="352" t="s">
        <v>183</v>
      </c>
      <c r="C315" s="436" t="s">
        <v>529</v>
      </c>
      <c r="D315" s="423"/>
      <c r="E315" s="423"/>
      <c r="F315" s="423"/>
      <c r="G315" s="423"/>
      <c r="H315" s="423"/>
    </row>
    <row r="316" spans="1:8" ht="15.5" hidden="1">
      <c r="A316" s="110" t="s">
        <v>480</v>
      </c>
      <c r="B316" s="370"/>
      <c r="C316" s="108"/>
      <c r="D316" s="329"/>
      <c r="E316" s="329"/>
      <c r="F316" s="370"/>
      <c r="G316" s="108"/>
      <c r="H316" s="197"/>
    </row>
    <row r="317" spans="1:8" hidden="1">
      <c r="A317" s="437" t="s">
        <v>2</v>
      </c>
      <c r="B317" s="439" t="s">
        <v>3</v>
      </c>
      <c r="C317" s="441" t="s">
        <v>4</v>
      </c>
      <c r="D317" s="443" t="s">
        <v>5</v>
      </c>
      <c r="E317" s="443"/>
      <c r="F317" s="437" t="s">
        <v>111</v>
      </c>
      <c r="G317" s="437"/>
      <c r="H317" s="444" t="s">
        <v>66</v>
      </c>
    </row>
    <row r="318" spans="1:8" hidden="1">
      <c r="A318" s="438"/>
      <c r="B318" s="440"/>
      <c r="C318" s="442"/>
      <c r="D318" s="123" t="s">
        <v>8</v>
      </c>
      <c r="E318" s="123" t="s">
        <v>9</v>
      </c>
      <c r="F318" s="438"/>
      <c r="G318" s="438"/>
      <c r="H318" s="445"/>
    </row>
    <row r="319" spans="1:8" ht="15.5" hidden="1">
      <c r="A319" s="35" t="s">
        <v>10</v>
      </c>
      <c r="B319" s="358" t="s">
        <v>11</v>
      </c>
      <c r="C319" s="44"/>
      <c r="D319" s="322"/>
      <c r="E319" s="322"/>
      <c r="F319" s="426" t="s">
        <v>112</v>
      </c>
      <c r="G319" s="426"/>
      <c r="H319" s="44"/>
    </row>
    <row r="320" spans="1:8" ht="21" hidden="1" customHeight="1">
      <c r="A320" s="48">
        <v>1</v>
      </c>
      <c r="B320" s="73" t="s">
        <v>113</v>
      </c>
      <c r="C320" s="44" t="s">
        <v>12</v>
      </c>
      <c r="D320" s="87" t="s">
        <v>68</v>
      </c>
      <c r="E320" s="87" t="s">
        <v>68</v>
      </c>
      <c r="F320" s="390" t="s">
        <v>532</v>
      </c>
      <c r="G320" s="203"/>
      <c r="H320" s="44"/>
    </row>
    <row r="321" spans="1:10" ht="24" hidden="1" customHeight="1">
      <c r="A321" s="48">
        <v>2</v>
      </c>
      <c r="B321" s="73" t="s">
        <v>114</v>
      </c>
      <c r="C321" s="44" t="s">
        <v>12</v>
      </c>
      <c r="D321" s="87" t="s">
        <v>68</v>
      </c>
      <c r="E321" s="87" t="s">
        <v>68</v>
      </c>
      <c r="F321" s="390" t="s">
        <v>532</v>
      </c>
      <c r="G321" s="203"/>
      <c r="H321" s="44"/>
    </row>
    <row r="322" spans="1:10" ht="36" hidden="1" customHeight="1">
      <c r="A322" s="48">
        <v>3</v>
      </c>
      <c r="B322" s="73" t="s">
        <v>73</v>
      </c>
      <c r="C322" s="44" t="s">
        <v>12</v>
      </c>
      <c r="D322" s="205" t="s">
        <v>350</v>
      </c>
      <c r="E322" s="205" t="s">
        <v>350</v>
      </c>
      <c r="F322" s="424" t="s">
        <v>533</v>
      </c>
      <c r="G322" s="427"/>
      <c r="H322" s="44"/>
    </row>
    <row r="323" spans="1:10" ht="15.5" hidden="1">
      <c r="A323" s="48">
        <v>4</v>
      </c>
      <c r="B323" s="73" t="s">
        <v>115</v>
      </c>
      <c r="C323" s="44" t="s">
        <v>12</v>
      </c>
      <c r="D323" s="332"/>
      <c r="E323" s="332"/>
      <c r="F323" s="428"/>
      <c r="G323" s="429"/>
      <c r="H323" s="44"/>
    </row>
    <row r="324" spans="1:10" ht="39.75" hidden="1" customHeight="1">
      <c r="A324" s="48">
        <v>5</v>
      </c>
      <c r="B324" s="214" t="s">
        <v>528</v>
      </c>
      <c r="C324" s="44" t="s">
        <v>12</v>
      </c>
      <c r="D324" s="87" t="s">
        <v>68</v>
      </c>
      <c r="E324" s="87" t="s">
        <v>68</v>
      </c>
      <c r="F324" s="430" t="s">
        <v>580</v>
      </c>
      <c r="G324" s="431"/>
      <c r="H324" s="44"/>
    </row>
    <row r="325" spans="1:10" ht="15.75" hidden="1" customHeight="1">
      <c r="A325" s="35" t="s">
        <v>13</v>
      </c>
      <c r="B325" s="353" t="s">
        <v>14</v>
      </c>
      <c r="C325" s="44"/>
      <c r="D325" s="204"/>
      <c r="E325" s="204"/>
      <c r="F325" s="432"/>
      <c r="G325" s="433"/>
      <c r="H325" s="44"/>
    </row>
    <row r="326" spans="1:10" ht="75.75" hidden="1" customHeight="1">
      <c r="A326" s="104">
        <v>1</v>
      </c>
      <c r="B326" s="214" t="s">
        <v>559</v>
      </c>
      <c r="C326" s="43" t="s">
        <v>39</v>
      </c>
      <c r="D326" s="93">
        <v>45798</v>
      </c>
      <c r="E326" s="93">
        <v>45829</v>
      </c>
      <c r="F326" s="422" t="s">
        <v>560</v>
      </c>
      <c r="G326" s="423"/>
      <c r="H326" s="44"/>
    </row>
    <row r="327" spans="1:10" ht="55.5" hidden="1" customHeight="1">
      <c r="A327" s="44">
        <v>2</v>
      </c>
      <c r="B327" s="73" t="s">
        <v>164</v>
      </c>
      <c r="C327" s="43" t="s">
        <v>39</v>
      </c>
      <c r="D327" s="93">
        <v>45798</v>
      </c>
      <c r="E327" s="93">
        <v>45829</v>
      </c>
      <c r="F327" s="422" t="s">
        <v>165</v>
      </c>
      <c r="G327" s="423"/>
      <c r="H327" s="44"/>
    </row>
    <row r="328" spans="1:10" s="52" customFormat="1" ht="63" hidden="1" customHeight="1">
      <c r="A328" s="104">
        <v>3</v>
      </c>
      <c r="B328" s="73" t="s">
        <v>166</v>
      </c>
      <c r="C328" s="44" t="s">
        <v>12</v>
      </c>
      <c r="D328" s="93">
        <v>45798</v>
      </c>
      <c r="E328" s="93">
        <v>45829</v>
      </c>
      <c r="F328" s="422" t="s">
        <v>167</v>
      </c>
      <c r="G328" s="423"/>
      <c r="H328" s="198">
        <v>150000000</v>
      </c>
    </row>
    <row r="329" spans="1:10" ht="63" hidden="1" customHeight="1">
      <c r="A329" s="44">
        <v>4</v>
      </c>
      <c r="B329" s="73" t="s">
        <v>526</v>
      </c>
      <c r="C329" s="49" t="s">
        <v>39</v>
      </c>
      <c r="D329" s="93">
        <v>45810</v>
      </c>
      <c r="E329" s="93">
        <v>45823</v>
      </c>
      <c r="F329" s="424" t="s">
        <v>527</v>
      </c>
      <c r="G329" s="425"/>
      <c r="H329" s="198"/>
    </row>
    <row r="330" spans="1:10" ht="34.5" hidden="1" customHeight="1">
      <c r="A330" s="44">
        <v>5</v>
      </c>
      <c r="B330" s="73" t="s">
        <v>558</v>
      </c>
      <c r="C330" s="49" t="s">
        <v>39</v>
      </c>
      <c r="D330" s="93">
        <v>45798</v>
      </c>
      <c r="E330" s="93">
        <v>45807</v>
      </c>
      <c r="F330" s="422" t="s">
        <v>578</v>
      </c>
      <c r="G330" s="423"/>
      <c r="H330" s="198">
        <v>9000000</v>
      </c>
    </row>
    <row r="331" spans="1:10" ht="20.25" customHeight="1">
      <c r="A331" s="106"/>
      <c r="B331" s="350"/>
      <c r="C331" s="219"/>
      <c r="D331" s="333"/>
      <c r="E331" s="333"/>
      <c r="F331" s="350"/>
      <c r="G331" s="219"/>
      <c r="H331" s="221"/>
    </row>
    <row r="332" spans="1:10" ht="17.25" customHeight="1">
      <c r="B332" s="376" t="s">
        <v>581</v>
      </c>
      <c r="C332" s="236"/>
      <c r="D332" s="321"/>
      <c r="E332" s="321"/>
      <c r="F332" s="376"/>
      <c r="G332" s="237"/>
      <c r="I332" s="236"/>
      <c r="J332" s="236"/>
    </row>
    <row r="333" spans="1:10" ht="22.5" customHeight="1">
      <c r="B333" s="377" t="s">
        <v>589</v>
      </c>
      <c r="C333" s="271"/>
      <c r="D333" s="247"/>
      <c r="E333" s="321"/>
      <c r="F333" s="377" t="s">
        <v>590</v>
      </c>
      <c r="G333" s="247" t="s">
        <v>594</v>
      </c>
      <c r="I333" s="236"/>
      <c r="J333" s="236"/>
    </row>
    <row r="334" spans="1:10" ht="26.25" customHeight="1">
      <c r="B334" s="378"/>
      <c r="C334" s="236"/>
      <c r="D334" s="321"/>
      <c r="E334" s="321"/>
      <c r="F334" s="378"/>
      <c r="G334" s="272" t="s">
        <v>593</v>
      </c>
      <c r="I334" s="236"/>
      <c r="J334" s="236"/>
    </row>
    <row r="335" spans="1:10" ht="16.5">
      <c r="B335" s="378"/>
      <c r="C335" s="236"/>
      <c r="D335" s="321"/>
      <c r="E335" s="321"/>
      <c r="F335" s="378"/>
      <c r="G335" s="272"/>
      <c r="I335" s="236"/>
      <c r="J335" s="236"/>
    </row>
    <row r="336" spans="1:10" ht="30" customHeight="1">
      <c r="B336" s="378"/>
      <c r="C336" s="236"/>
      <c r="D336" s="321"/>
      <c r="E336" s="321"/>
      <c r="F336" s="378"/>
      <c r="G336" s="273" t="s">
        <v>591</v>
      </c>
      <c r="I336" s="236"/>
      <c r="J336" s="236"/>
    </row>
    <row r="337" spans="2:10" ht="22.5" customHeight="1">
      <c r="B337" s="377" t="s">
        <v>28</v>
      </c>
      <c r="C337" s="247"/>
      <c r="D337" s="247"/>
      <c r="E337" s="321"/>
      <c r="F337" s="391" t="s">
        <v>17</v>
      </c>
      <c r="G337" s="236" t="s">
        <v>592</v>
      </c>
      <c r="I337" s="236"/>
      <c r="J337" s="236"/>
    </row>
    <row r="338" spans="2:10" ht="16.5">
      <c r="B338" s="378"/>
      <c r="C338" s="236"/>
      <c r="D338" s="321"/>
      <c r="E338" s="321"/>
      <c r="F338" s="378"/>
      <c r="G338" s="236"/>
      <c r="H338" s="237"/>
      <c r="I338" s="236"/>
      <c r="J338" s="236"/>
    </row>
    <row r="339" spans="2:10" ht="16.5">
      <c r="B339" s="378"/>
      <c r="C339" s="236"/>
      <c r="D339" s="321"/>
      <c r="E339" s="321"/>
      <c r="F339" s="378"/>
      <c r="G339" s="236"/>
      <c r="H339" s="237"/>
      <c r="I339" s="236"/>
      <c r="J339" s="236"/>
    </row>
    <row r="340" spans="2:10" ht="16.5">
      <c r="B340" s="378"/>
      <c r="C340" s="236"/>
      <c r="D340" s="321"/>
      <c r="E340" s="321"/>
      <c r="F340" s="378"/>
      <c r="G340" s="236"/>
      <c r="H340" s="237"/>
      <c r="I340" s="236"/>
      <c r="J340" s="236"/>
    </row>
    <row r="341" spans="2:10" ht="16.5">
      <c r="B341" s="378"/>
      <c r="C341" s="236"/>
      <c r="D341" s="321"/>
      <c r="E341" s="321"/>
      <c r="F341" s="378"/>
      <c r="G341" s="236"/>
      <c r="H341" s="237"/>
      <c r="I341" s="236"/>
      <c r="J341" s="236"/>
    </row>
    <row r="342" spans="2:10" ht="16.5">
      <c r="B342" s="378"/>
      <c r="C342" s="236"/>
      <c r="D342" s="321"/>
      <c r="E342" s="321"/>
      <c r="F342" s="378"/>
      <c r="G342" s="236"/>
      <c r="H342" s="237"/>
      <c r="I342" s="236"/>
      <c r="J342" s="236"/>
    </row>
  </sheetData>
  <mergeCells count="130">
    <mergeCell ref="A1:B1"/>
    <mergeCell ref="C1:H1"/>
    <mergeCell ref="A2:B2"/>
    <mergeCell ref="C2:H2"/>
    <mergeCell ref="C4:G4"/>
    <mergeCell ref="A5:H5"/>
    <mergeCell ref="A56:A57"/>
    <mergeCell ref="B56:B57"/>
    <mergeCell ref="C56:C57"/>
    <mergeCell ref="D56:E56"/>
    <mergeCell ref="F56:G57"/>
    <mergeCell ref="H56:H57"/>
    <mergeCell ref="H6:H7"/>
    <mergeCell ref="D17:E17"/>
    <mergeCell ref="D18:E18"/>
    <mergeCell ref="B52:C52"/>
    <mergeCell ref="C53:H53"/>
    <mergeCell ref="C54:H54"/>
    <mergeCell ref="A6:A7"/>
    <mergeCell ref="B6:B7"/>
    <mergeCell ref="C6:C7"/>
    <mergeCell ref="D6:E6"/>
    <mergeCell ref="F6:F7"/>
    <mergeCell ref="G6:G7"/>
    <mergeCell ref="F64:G64"/>
    <mergeCell ref="F66:G66"/>
    <mergeCell ref="F67:G67"/>
    <mergeCell ref="F68:G68"/>
    <mergeCell ref="F70:G70"/>
    <mergeCell ref="F71:G71"/>
    <mergeCell ref="F58:G58"/>
    <mergeCell ref="F59:G59"/>
    <mergeCell ref="F60:G60"/>
    <mergeCell ref="F61:G61"/>
    <mergeCell ref="F62:G62"/>
    <mergeCell ref="F63:G63"/>
    <mergeCell ref="F72:G72"/>
    <mergeCell ref="F73:G73"/>
    <mergeCell ref="A75:H75"/>
    <mergeCell ref="A76:H76"/>
    <mergeCell ref="A77:A78"/>
    <mergeCell ref="B77:B78"/>
    <mergeCell ref="C77:C78"/>
    <mergeCell ref="D77:E77"/>
    <mergeCell ref="F77:F78"/>
    <mergeCell ref="G77:G78"/>
    <mergeCell ref="H77:H78"/>
    <mergeCell ref="C117:H117"/>
    <mergeCell ref="C118:H118"/>
    <mergeCell ref="A121:A122"/>
    <mergeCell ref="B121:B122"/>
    <mergeCell ref="C121:C122"/>
    <mergeCell ref="D121:E121"/>
    <mergeCell ref="F121:G122"/>
    <mergeCell ref="H121:H122"/>
    <mergeCell ref="F129:G129"/>
    <mergeCell ref="F130:G130"/>
    <mergeCell ref="F131:G131"/>
    <mergeCell ref="F132:G132"/>
    <mergeCell ref="F133:G133"/>
    <mergeCell ref="F134:G134"/>
    <mergeCell ref="F123:G123"/>
    <mergeCell ref="F124:G124"/>
    <mergeCell ref="F125:G125"/>
    <mergeCell ref="F126:G126"/>
    <mergeCell ref="F127:G127"/>
    <mergeCell ref="F128:G128"/>
    <mergeCell ref="F135:G135"/>
    <mergeCell ref="A136:H136"/>
    <mergeCell ref="A137:H137"/>
    <mergeCell ref="A138:A139"/>
    <mergeCell ref="B138:B139"/>
    <mergeCell ref="C138:C139"/>
    <mergeCell ref="D138:E138"/>
    <mergeCell ref="F138:F139"/>
    <mergeCell ref="G138:G139"/>
    <mergeCell ref="H138:H139"/>
    <mergeCell ref="C258:H258"/>
    <mergeCell ref="C259:H259"/>
    <mergeCell ref="A261:A262"/>
    <mergeCell ref="B261:B262"/>
    <mergeCell ref="C261:C262"/>
    <mergeCell ref="D261:E261"/>
    <mergeCell ref="F261:G262"/>
    <mergeCell ref="H261:H262"/>
    <mergeCell ref="D141:E141"/>
    <mergeCell ref="D157:E157"/>
    <mergeCell ref="D164:E164"/>
    <mergeCell ref="D166:E166"/>
    <mergeCell ref="D186:E186"/>
    <mergeCell ref="F248:G248"/>
    <mergeCell ref="F269:G269"/>
    <mergeCell ref="F270:G270"/>
    <mergeCell ref="F271:G271"/>
    <mergeCell ref="F272:G272"/>
    <mergeCell ref="F274:G274"/>
    <mergeCell ref="F275:G275"/>
    <mergeCell ref="F263:G263"/>
    <mergeCell ref="F264:G264"/>
    <mergeCell ref="F265:G265"/>
    <mergeCell ref="F266:G266"/>
    <mergeCell ref="F267:G267"/>
    <mergeCell ref="F268:G268"/>
    <mergeCell ref="C314:H314"/>
    <mergeCell ref="C315:H315"/>
    <mergeCell ref="A317:A318"/>
    <mergeCell ref="B317:B318"/>
    <mergeCell ref="C317:C318"/>
    <mergeCell ref="D317:E317"/>
    <mergeCell ref="F317:G318"/>
    <mergeCell ref="H317:H318"/>
    <mergeCell ref="F276:G276"/>
    <mergeCell ref="A279:H279"/>
    <mergeCell ref="A280:A281"/>
    <mergeCell ref="B280:B281"/>
    <mergeCell ref="C280:C281"/>
    <mergeCell ref="D280:E280"/>
    <mergeCell ref="F280:F281"/>
    <mergeCell ref="G280:G281"/>
    <mergeCell ref="H280:H281"/>
    <mergeCell ref="F327:G327"/>
    <mergeCell ref="F328:G328"/>
    <mergeCell ref="F329:G329"/>
    <mergeCell ref="F330:G330"/>
    <mergeCell ref="F319:G319"/>
    <mergeCell ref="F322:G322"/>
    <mergeCell ref="F323:G323"/>
    <mergeCell ref="F324:G324"/>
    <mergeCell ref="F325:G325"/>
    <mergeCell ref="F326:G326"/>
  </mergeCells>
  <pageMargins left="0.39370078740157483" right="0.39370078740157483" top="0.39370078740157483" bottom="0.39370078740157483" header="0.31496062992125984" footer="0.31496062992125984"/>
  <pageSetup paperSize="9" scale="71" fitToHeight="0" orientation="landscape" r:id="rId1"/>
  <rowBreaks count="3" manualBreakCount="3">
    <brk id="74" max="16383" man="1"/>
    <brk id="135" max="16383" man="1"/>
    <brk id="277" max="16383"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92"/>
  <sheetViews>
    <sheetView tabSelected="1" topLeftCell="A81" zoomScaleNormal="100" zoomScaleSheetLayoutView="100" workbookViewId="0">
      <selection activeCell="E57" sqref="E57"/>
    </sheetView>
  </sheetViews>
  <sheetFormatPr defaultColWidth="9" defaultRowHeight="14"/>
  <cols>
    <col min="1" max="1" width="5.83203125" style="52" customWidth="1"/>
    <col min="2" max="2" width="43.75" style="401" customWidth="1"/>
    <col min="3" max="3" width="11.25" style="52" customWidth="1"/>
    <col min="4" max="5" width="11.25" style="235" customWidth="1"/>
    <col min="6" max="6" width="52.58203125" style="401" customWidth="1"/>
    <col min="7" max="7" width="43.75" style="52" customWidth="1"/>
    <col min="8" max="8" width="16" style="235" customWidth="1"/>
    <col min="9" max="9" width="26.58203125" style="52" bestFit="1" customWidth="1"/>
    <col min="10" max="256" width="9" style="52"/>
    <col min="257" max="257" width="5.83203125" style="52" customWidth="1"/>
    <col min="258" max="258" width="62.4140625" style="52" customWidth="1"/>
    <col min="259" max="259" width="14.83203125" style="52" customWidth="1"/>
    <col min="260" max="260" width="17.25" style="52" customWidth="1"/>
    <col min="261" max="261" width="20.75" style="52" customWidth="1"/>
    <col min="262" max="262" width="33.83203125" style="52" customWidth="1"/>
    <col min="263" max="263" width="37.25" style="52" customWidth="1"/>
    <col min="264" max="264" width="18.58203125" style="52" customWidth="1"/>
    <col min="265" max="512" width="9" style="52"/>
    <col min="513" max="513" width="5.83203125" style="52" customWidth="1"/>
    <col min="514" max="514" width="62.4140625" style="52" customWidth="1"/>
    <col min="515" max="515" width="14.83203125" style="52" customWidth="1"/>
    <col min="516" max="516" width="17.25" style="52" customWidth="1"/>
    <col min="517" max="517" width="20.75" style="52" customWidth="1"/>
    <col min="518" max="518" width="33.83203125" style="52" customWidth="1"/>
    <col min="519" max="519" width="37.25" style="52" customWidth="1"/>
    <col min="520" max="520" width="18.58203125" style="52" customWidth="1"/>
    <col min="521" max="768" width="9" style="52"/>
    <col min="769" max="769" width="5.83203125" style="52" customWidth="1"/>
    <col min="770" max="770" width="62.4140625" style="52" customWidth="1"/>
    <col min="771" max="771" width="14.83203125" style="52" customWidth="1"/>
    <col min="772" max="772" width="17.25" style="52" customWidth="1"/>
    <col min="773" max="773" width="20.75" style="52" customWidth="1"/>
    <col min="774" max="774" width="33.83203125" style="52" customWidth="1"/>
    <col min="775" max="775" width="37.25" style="52" customWidth="1"/>
    <col min="776" max="776" width="18.58203125" style="52" customWidth="1"/>
    <col min="777" max="1024" width="9" style="52"/>
    <col min="1025" max="1025" width="5.83203125" style="52" customWidth="1"/>
    <col min="1026" max="1026" width="62.4140625" style="52" customWidth="1"/>
    <col min="1027" max="1027" width="14.83203125" style="52" customWidth="1"/>
    <col min="1028" max="1028" width="17.25" style="52" customWidth="1"/>
    <col min="1029" max="1029" width="20.75" style="52" customWidth="1"/>
    <col min="1030" max="1030" width="33.83203125" style="52" customWidth="1"/>
    <col min="1031" max="1031" width="37.25" style="52" customWidth="1"/>
    <col min="1032" max="1032" width="18.58203125" style="52" customWidth="1"/>
    <col min="1033" max="1280" width="9" style="52"/>
    <col min="1281" max="1281" width="5.83203125" style="52" customWidth="1"/>
    <col min="1282" max="1282" width="62.4140625" style="52" customWidth="1"/>
    <col min="1283" max="1283" width="14.83203125" style="52" customWidth="1"/>
    <col min="1284" max="1284" width="17.25" style="52" customWidth="1"/>
    <col min="1285" max="1285" width="20.75" style="52" customWidth="1"/>
    <col min="1286" max="1286" width="33.83203125" style="52" customWidth="1"/>
    <col min="1287" max="1287" width="37.25" style="52" customWidth="1"/>
    <col min="1288" max="1288" width="18.58203125" style="52" customWidth="1"/>
    <col min="1289" max="1536" width="9" style="52"/>
    <col min="1537" max="1537" width="5.83203125" style="52" customWidth="1"/>
    <col min="1538" max="1538" width="62.4140625" style="52" customWidth="1"/>
    <col min="1539" max="1539" width="14.83203125" style="52" customWidth="1"/>
    <col min="1540" max="1540" width="17.25" style="52" customWidth="1"/>
    <col min="1541" max="1541" width="20.75" style="52" customWidth="1"/>
    <col min="1542" max="1542" width="33.83203125" style="52" customWidth="1"/>
    <col min="1543" max="1543" width="37.25" style="52" customWidth="1"/>
    <col min="1544" max="1544" width="18.58203125" style="52" customWidth="1"/>
    <col min="1545" max="1792" width="9" style="52"/>
    <col min="1793" max="1793" width="5.83203125" style="52" customWidth="1"/>
    <col min="1794" max="1794" width="62.4140625" style="52" customWidth="1"/>
    <col min="1795" max="1795" width="14.83203125" style="52" customWidth="1"/>
    <col min="1796" max="1796" width="17.25" style="52" customWidth="1"/>
    <col min="1797" max="1797" width="20.75" style="52" customWidth="1"/>
    <col min="1798" max="1798" width="33.83203125" style="52" customWidth="1"/>
    <col min="1799" max="1799" width="37.25" style="52" customWidth="1"/>
    <col min="1800" max="1800" width="18.58203125" style="52" customWidth="1"/>
    <col min="1801" max="2048" width="9" style="52"/>
    <col min="2049" max="2049" width="5.83203125" style="52" customWidth="1"/>
    <col min="2050" max="2050" width="62.4140625" style="52" customWidth="1"/>
    <col min="2051" max="2051" width="14.83203125" style="52" customWidth="1"/>
    <col min="2052" max="2052" width="17.25" style="52" customWidth="1"/>
    <col min="2053" max="2053" width="20.75" style="52" customWidth="1"/>
    <col min="2054" max="2054" width="33.83203125" style="52" customWidth="1"/>
    <col min="2055" max="2055" width="37.25" style="52" customWidth="1"/>
    <col min="2056" max="2056" width="18.58203125" style="52" customWidth="1"/>
    <col min="2057" max="2304" width="9" style="52"/>
    <col min="2305" max="2305" width="5.83203125" style="52" customWidth="1"/>
    <col min="2306" max="2306" width="62.4140625" style="52" customWidth="1"/>
    <col min="2307" max="2307" width="14.83203125" style="52" customWidth="1"/>
    <col min="2308" max="2308" width="17.25" style="52" customWidth="1"/>
    <col min="2309" max="2309" width="20.75" style="52" customWidth="1"/>
    <col min="2310" max="2310" width="33.83203125" style="52" customWidth="1"/>
    <col min="2311" max="2311" width="37.25" style="52" customWidth="1"/>
    <col min="2312" max="2312" width="18.58203125" style="52" customWidth="1"/>
    <col min="2313" max="2560" width="9" style="52"/>
    <col min="2561" max="2561" width="5.83203125" style="52" customWidth="1"/>
    <col min="2562" max="2562" width="62.4140625" style="52" customWidth="1"/>
    <col min="2563" max="2563" width="14.83203125" style="52" customWidth="1"/>
    <col min="2564" max="2564" width="17.25" style="52" customWidth="1"/>
    <col min="2565" max="2565" width="20.75" style="52" customWidth="1"/>
    <col min="2566" max="2566" width="33.83203125" style="52" customWidth="1"/>
    <col min="2567" max="2567" width="37.25" style="52" customWidth="1"/>
    <col min="2568" max="2568" width="18.58203125" style="52" customWidth="1"/>
    <col min="2569" max="2816" width="9" style="52"/>
    <col min="2817" max="2817" width="5.83203125" style="52" customWidth="1"/>
    <col min="2818" max="2818" width="62.4140625" style="52" customWidth="1"/>
    <col min="2819" max="2819" width="14.83203125" style="52" customWidth="1"/>
    <col min="2820" max="2820" width="17.25" style="52" customWidth="1"/>
    <col min="2821" max="2821" width="20.75" style="52" customWidth="1"/>
    <col min="2822" max="2822" width="33.83203125" style="52" customWidth="1"/>
    <col min="2823" max="2823" width="37.25" style="52" customWidth="1"/>
    <col min="2824" max="2824" width="18.58203125" style="52" customWidth="1"/>
    <col min="2825" max="3072" width="9" style="52"/>
    <col min="3073" max="3073" width="5.83203125" style="52" customWidth="1"/>
    <col min="3074" max="3074" width="62.4140625" style="52" customWidth="1"/>
    <col min="3075" max="3075" width="14.83203125" style="52" customWidth="1"/>
    <col min="3076" max="3076" width="17.25" style="52" customWidth="1"/>
    <col min="3077" max="3077" width="20.75" style="52" customWidth="1"/>
    <col min="3078" max="3078" width="33.83203125" style="52" customWidth="1"/>
    <col min="3079" max="3079" width="37.25" style="52" customWidth="1"/>
    <col min="3080" max="3080" width="18.58203125" style="52" customWidth="1"/>
    <col min="3081" max="3328" width="9" style="52"/>
    <col min="3329" max="3329" width="5.83203125" style="52" customWidth="1"/>
    <col min="3330" max="3330" width="62.4140625" style="52" customWidth="1"/>
    <col min="3331" max="3331" width="14.83203125" style="52" customWidth="1"/>
    <col min="3332" max="3332" width="17.25" style="52" customWidth="1"/>
    <col min="3333" max="3333" width="20.75" style="52" customWidth="1"/>
    <col min="3334" max="3334" width="33.83203125" style="52" customWidth="1"/>
    <col min="3335" max="3335" width="37.25" style="52" customWidth="1"/>
    <col min="3336" max="3336" width="18.58203125" style="52" customWidth="1"/>
    <col min="3337" max="3584" width="9" style="52"/>
    <col min="3585" max="3585" width="5.83203125" style="52" customWidth="1"/>
    <col min="3586" max="3586" width="62.4140625" style="52" customWidth="1"/>
    <col min="3587" max="3587" width="14.83203125" style="52" customWidth="1"/>
    <col min="3588" max="3588" width="17.25" style="52" customWidth="1"/>
    <col min="3589" max="3589" width="20.75" style="52" customWidth="1"/>
    <col min="3590" max="3590" width="33.83203125" style="52" customWidth="1"/>
    <col min="3591" max="3591" width="37.25" style="52" customWidth="1"/>
    <col min="3592" max="3592" width="18.58203125" style="52" customWidth="1"/>
    <col min="3593" max="3840" width="9" style="52"/>
    <col min="3841" max="3841" width="5.83203125" style="52" customWidth="1"/>
    <col min="3842" max="3842" width="62.4140625" style="52" customWidth="1"/>
    <col min="3843" max="3843" width="14.83203125" style="52" customWidth="1"/>
    <col min="3844" max="3844" width="17.25" style="52" customWidth="1"/>
    <col min="3845" max="3845" width="20.75" style="52" customWidth="1"/>
    <col min="3846" max="3846" width="33.83203125" style="52" customWidth="1"/>
    <col min="3847" max="3847" width="37.25" style="52" customWidth="1"/>
    <col min="3848" max="3848" width="18.58203125" style="52" customWidth="1"/>
    <col min="3849" max="4096" width="9" style="52"/>
    <col min="4097" max="4097" width="5.83203125" style="52" customWidth="1"/>
    <col min="4098" max="4098" width="62.4140625" style="52" customWidth="1"/>
    <col min="4099" max="4099" width="14.83203125" style="52" customWidth="1"/>
    <col min="4100" max="4100" width="17.25" style="52" customWidth="1"/>
    <col min="4101" max="4101" width="20.75" style="52" customWidth="1"/>
    <col min="4102" max="4102" width="33.83203125" style="52" customWidth="1"/>
    <col min="4103" max="4103" width="37.25" style="52" customWidth="1"/>
    <col min="4104" max="4104" width="18.58203125" style="52" customWidth="1"/>
    <col min="4105" max="4352" width="9" style="52"/>
    <col min="4353" max="4353" width="5.83203125" style="52" customWidth="1"/>
    <col min="4354" max="4354" width="62.4140625" style="52" customWidth="1"/>
    <col min="4355" max="4355" width="14.83203125" style="52" customWidth="1"/>
    <col min="4356" max="4356" width="17.25" style="52" customWidth="1"/>
    <col min="4357" max="4357" width="20.75" style="52" customWidth="1"/>
    <col min="4358" max="4358" width="33.83203125" style="52" customWidth="1"/>
    <col min="4359" max="4359" width="37.25" style="52" customWidth="1"/>
    <col min="4360" max="4360" width="18.58203125" style="52" customWidth="1"/>
    <col min="4361" max="4608" width="9" style="52"/>
    <col min="4609" max="4609" width="5.83203125" style="52" customWidth="1"/>
    <col min="4610" max="4610" width="62.4140625" style="52" customWidth="1"/>
    <col min="4611" max="4611" width="14.83203125" style="52" customWidth="1"/>
    <col min="4612" max="4612" width="17.25" style="52" customWidth="1"/>
    <col min="4613" max="4613" width="20.75" style="52" customWidth="1"/>
    <col min="4614" max="4614" width="33.83203125" style="52" customWidth="1"/>
    <col min="4615" max="4615" width="37.25" style="52" customWidth="1"/>
    <col min="4616" max="4616" width="18.58203125" style="52" customWidth="1"/>
    <col min="4617" max="4864" width="9" style="52"/>
    <col min="4865" max="4865" width="5.83203125" style="52" customWidth="1"/>
    <col min="4866" max="4866" width="62.4140625" style="52" customWidth="1"/>
    <col min="4867" max="4867" width="14.83203125" style="52" customWidth="1"/>
    <col min="4868" max="4868" width="17.25" style="52" customWidth="1"/>
    <col min="4869" max="4869" width="20.75" style="52" customWidth="1"/>
    <col min="4870" max="4870" width="33.83203125" style="52" customWidth="1"/>
    <col min="4871" max="4871" width="37.25" style="52" customWidth="1"/>
    <col min="4872" max="4872" width="18.58203125" style="52" customWidth="1"/>
    <col min="4873" max="5120" width="9" style="52"/>
    <col min="5121" max="5121" width="5.83203125" style="52" customWidth="1"/>
    <col min="5122" max="5122" width="62.4140625" style="52" customWidth="1"/>
    <col min="5123" max="5123" width="14.83203125" style="52" customWidth="1"/>
    <col min="5124" max="5124" width="17.25" style="52" customWidth="1"/>
    <col min="5125" max="5125" width="20.75" style="52" customWidth="1"/>
    <col min="5126" max="5126" width="33.83203125" style="52" customWidth="1"/>
    <col min="5127" max="5127" width="37.25" style="52" customWidth="1"/>
    <col min="5128" max="5128" width="18.58203125" style="52" customWidth="1"/>
    <col min="5129" max="5376" width="9" style="52"/>
    <col min="5377" max="5377" width="5.83203125" style="52" customWidth="1"/>
    <col min="5378" max="5378" width="62.4140625" style="52" customWidth="1"/>
    <col min="5379" max="5379" width="14.83203125" style="52" customWidth="1"/>
    <col min="5380" max="5380" width="17.25" style="52" customWidth="1"/>
    <col min="5381" max="5381" width="20.75" style="52" customWidth="1"/>
    <col min="5382" max="5382" width="33.83203125" style="52" customWidth="1"/>
    <col min="5383" max="5383" width="37.25" style="52" customWidth="1"/>
    <col min="5384" max="5384" width="18.58203125" style="52" customWidth="1"/>
    <col min="5385" max="5632" width="9" style="52"/>
    <col min="5633" max="5633" width="5.83203125" style="52" customWidth="1"/>
    <col min="5634" max="5634" width="62.4140625" style="52" customWidth="1"/>
    <col min="5635" max="5635" width="14.83203125" style="52" customWidth="1"/>
    <col min="5636" max="5636" width="17.25" style="52" customWidth="1"/>
    <col min="5637" max="5637" width="20.75" style="52" customWidth="1"/>
    <col min="5638" max="5638" width="33.83203125" style="52" customWidth="1"/>
    <col min="5639" max="5639" width="37.25" style="52" customWidth="1"/>
    <col min="5640" max="5640" width="18.58203125" style="52" customWidth="1"/>
    <col min="5641" max="5888" width="9" style="52"/>
    <col min="5889" max="5889" width="5.83203125" style="52" customWidth="1"/>
    <col min="5890" max="5890" width="62.4140625" style="52" customWidth="1"/>
    <col min="5891" max="5891" width="14.83203125" style="52" customWidth="1"/>
    <col min="5892" max="5892" width="17.25" style="52" customWidth="1"/>
    <col min="5893" max="5893" width="20.75" style="52" customWidth="1"/>
    <col min="5894" max="5894" width="33.83203125" style="52" customWidth="1"/>
    <col min="5895" max="5895" width="37.25" style="52" customWidth="1"/>
    <col min="5896" max="5896" width="18.58203125" style="52" customWidth="1"/>
    <col min="5897" max="6144" width="9" style="52"/>
    <col min="6145" max="6145" width="5.83203125" style="52" customWidth="1"/>
    <col min="6146" max="6146" width="62.4140625" style="52" customWidth="1"/>
    <col min="6147" max="6147" width="14.83203125" style="52" customWidth="1"/>
    <col min="6148" max="6148" width="17.25" style="52" customWidth="1"/>
    <col min="6149" max="6149" width="20.75" style="52" customWidth="1"/>
    <col min="6150" max="6150" width="33.83203125" style="52" customWidth="1"/>
    <col min="6151" max="6151" width="37.25" style="52" customWidth="1"/>
    <col min="6152" max="6152" width="18.58203125" style="52" customWidth="1"/>
    <col min="6153" max="6400" width="9" style="52"/>
    <col min="6401" max="6401" width="5.83203125" style="52" customWidth="1"/>
    <col min="6402" max="6402" width="62.4140625" style="52" customWidth="1"/>
    <col min="6403" max="6403" width="14.83203125" style="52" customWidth="1"/>
    <col min="6404" max="6404" width="17.25" style="52" customWidth="1"/>
    <col min="6405" max="6405" width="20.75" style="52" customWidth="1"/>
    <col min="6406" max="6406" width="33.83203125" style="52" customWidth="1"/>
    <col min="6407" max="6407" width="37.25" style="52" customWidth="1"/>
    <col min="6408" max="6408" width="18.58203125" style="52" customWidth="1"/>
    <col min="6409" max="6656" width="9" style="52"/>
    <col min="6657" max="6657" width="5.83203125" style="52" customWidth="1"/>
    <col min="6658" max="6658" width="62.4140625" style="52" customWidth="1"/>
    <col min="6659" max="6659" width="14.83203125" style="52" customWidth="1"/>
    <col min="6660" max="6660" width="17.25" style="52" customWidth="1"/>
    <col min="6661" max="6661" width="20.75" style="52" customWidth="1"/>
    <col min="6662" max="6662" width="33.83203125" style="52" customWidth="1"/>
    <col min="6663" max="6663" width="37.25" style="52" customWidth="1"/>
    <col min="6664" max="6664" width="18.58203125" style="52" customWidth="1"/>
    <col min="6665" max="6912" width="9" style="52"/>
    <col min="6913" max="6913" width="5.83203125" style="52" customWidth="1"/>
    <col min="6914" max="6914" width="62.4140625" style="52" customWidth="1"/>
    <col min="6915" max="6915" width="14.83203125" style="52" customWidth="1"/>
    <col min="6916" max="6916" width="17.25" style="52" customWidth="1"/>
    <col min="6917" max="6917" width="20.75" style="52" customWidth="1"/>
    <col min="6918" max="6918" width="33.83203125" style="52" customWidth="1"/>
    <col min="6919" max="6919" width="37.25" style="52" customWidth="1"/>
    <col min="6920" max="6920" width="18.58203125" style="52" customWidth="1"/>
    <col min="6921" max="7168" width="9" style="52"/>
    <col min="7169" max="7169" width="5.83203125" style="52" customWidth="1"/>
    <col min="7170" max="7170" width="62.4140625" style="52" customWidth="1"/>
    <col min="7171" max="7171" width="14.83203125" style="52" customWidth="1"/>
    <col min="7172" max="7172" width="17.25" style="52" customWidth="1"/>
    <col min="7173" max="7173" width="20.75" style="52" customWidth="1"/>
    <col min="7174" max="7174" width="33.83203125" style="52" customWidth="1"/>
    <col min="7175" max="7175" width="37.25" style="52" customWidth="1"/>
    <col min="7176" max="7176" width="18.58203125" style="52" customWidth="1"/>
    <col min="7177" max="7424" width="9" style="52"/>
    <col min="7425" max="7425" width="5.83203125" style="52" customWidth="1"/>
    <col min="7426" max="7426" width="62.4140625" style="52" customWidth="1"/>
    <col min="7427" max="7427" width="14.83203125" style="52" customWidth="1"/>
    <col min="7428" max="7428" width="17.25" style="52" customWidth="1"/>
    <col min="7429" max="7429" width="20.75" style="52" customWidth="1"/>
    <col min="7430" max="7430" width="33.83203125" style="52" customWidth="1"/>
    <col min="7431" max="7431" width="37.25" style="52" customWidth="1"/>
    <col min="7432" max="7432" width="18.58203125" style="52" customWidth="1"/>
    <col min="7433" max="7680" width="9" style="52"/>
    <col min="7681" max="7681" width="5.83203125" style="52" customWidth="1"/>
    <col min="7682" max="7682" width="62.4140625" style="52" customWidth="1"/>
    <col min="7683" max="7683" width="14.83203125" style="52" customWidth="1"/>
    <col min="7684" max="7684" width="17.25" style="52" customWidth="1"/>
    <col min="7685" max="7685" width="20.75" style="52" customWidth="1"/>
    <col min="7686" max="7686" width="33.83203125" style="52" customWidth="1"/>
    <col min="7687" max="7687" width="37.25" style="52" customWidth="1"/>
    <col min="7688" max="7688" width="18.58203125" style="52" customWidth="1"/>
    <col min="7689" max="7936" width="9" style="52"/>
    <col min="7937" max="7937" width="5.83203125" style="52" customWidth="1"/>
    <col min="7938" max="7938" width="62.4140625" style="52" customWidth="1"/>
    <col min="7939" max="7939" width="14.83203125" style="52" customWidth="1"/>
    <col min="7940" max="7940" width="17.25" style="52" customWidth="1"/>
    <col min="7941" max="7941" width="20.75" style="52" customWidth="1"/>
    <col min="7942" max="7942" width="33.83203125" style="52" customWidth="1"/>
    <col min="7943" max="7943" width="37.25" style="52" customWidth="1"/>
    <col min="7944" max="7944" width="18.58203125" style="52" customWidth="1"/>
    <col min="7945" max="8192" width="9" style="52"/>
    <col min="8193" max="8193" width="5.83203125" style="52" customWidth="1"/>
    <col min="8194" max="8194" width="62.4140625" style="52" customWidth="1"/>
    <col min="8195" max="8195" width="14.83203125" style="52" customWidth="1"/>
    <col min="8196" max="8196" width="17.25" style="52" customWidth="1"/>
    <col min="8197" max="8197" width="20.75" style="52" customWidth="1"/>
    <col min="8198" max="8198" width="33.83203125" style="52" customWidth="1"/>
    <col min="8199" max="8199" width="37.25" style="52" customWidth="1"/>
    <col min="8200" max="8200" width="18.58203125" style="52" customWidth="1"/>
    <col min="8201" max="8448" width="9" style="52"/>
    <col min="8449" max="8449" width="5.83203125" style="52" customWidth="1"/>
    <col min="8450" max="8450" width="62.4140625" style="52" customWidth="1"/>
    <col min="8451" max="8451" width="14.83203125" style="52" customWidth="1"/>
    <col min="8452" max="8452" width="17.25" style="52" customWidth="1"/>
    <col min="8453" max="8453" width="20.75" style="52" customWidth="1"/>
    <col min="8454" max="8454" width="33.83203125" style="52" customWidth="1"/>
    <col min="8455" max="8455" width="37.25" style="52" customWidth="1"/>
    <col min="8456" max="8456" width="18.58203125" style="52" customWidth="1"/>
    <col min="8457" max="8704" width="9" style="52"/>
    <col min="8705" max="8705" width="5.83203125" style="52" customWidth="1"/>
    <col min="8706" max="8706" width="62.4140625" style="52" customWidth="1"/>
    <col min="8707" max="8707" width="14.83203125" style="52" customWidth="1"/>
    <col min="8708" max="8708" width="17.25" style="52" customWidth="1"/>
    <col min="8709" max="8709" width="20.75" style="52" customWidth="1"/>
    <col min="8710" max="8710" width="33.83203125" style="52" customWidth="1"/>
    <col min="8711" max="8711" width="37.25" style="52" customWidth="1"/>
    <col min="8712" max="8712" width="18.58203125" style="52" customWidth="1"/>
    <col min="8713" max="8960" width="9" style="52"/>
    <col min="8961" max="8961" width="5.83203125" style="52" customWidth="1"/>
    <col min="8962" max="8962" width="62.4140625" style="52" customWidth="1"/>
    <col min="8963" max="8963" width="14.83203125" style="52" customWidth="1"/>
    <col min="8964" max="8964" width="17.25" style="52" customWidth="1"/>
    <col min="8965" max="8965" width="20.75" style="52" customWidth="1"/>
    <col min="8966" max="8966" width="33.83203125" style="52" customWidth="1"/>
    <col min="8967" max="8967" width="37.25" style="52" customWidth="1"/>
    <col min="8968" max="8968" width="18.58203125" style="52" customWidth="1"/>
    <col min="8969" max="9216" width="9" style="52"/>
    <col min="9217" max="9217" width="5.83203125" style="52" customWidth="1"/>
    <col min="9218" max="9218" width="62.4140625" style="52" customWidth="1"/>
    <col min="9219" max="9219" width="14.83203125" style="52" customWidth="1"/>
    <col min="9220" max="9220" width="17.25" style="52" customWidth="1"/>
    <col min="9221" max="9221" width="20.75" style="52" customWidth="1"/>
    <col min="9222" max="9222" width="33.83203125" style="52" customWidth="1"/>
    <col min="9223" max="9223" width="37.25" style="52" customWidth="1"/>
    <col min="9224" max="9224" width="18.58203125" style="52" customWidth="1"/>
    <col min="9225" max="9472" width="9" style="52"/>
    <col min="9473" max="9473" width="5.83203125" style="52" customWidth="1"/>
    <col min="9474" max="9474" width="62.4140625" style="52" customWidth="1"/>
    <col min="9475" max="9475" width="14.83203125" style="52" customWidth="1"/>
    <col min="9476" max="9476" width="17.25" style="52" customWidth="1"/>
    <col min="9477" max="9477" width="20.75" style="52" customWidth="1"/>
    <col min="9478" max="9478" width="33.83203125" style="52" customWidth="1"/>
    <col min="9479" max="9479" width="37.25" style="52" customWidth="1"/>
    <col min="9480" max="9480" width="18.58203125" style="52" customWidth="1"/>
    <col min="9481" max="9728" width="9" style="52"/>
    <col min="9729" max="9729" width="5.83203125" style="52" customWidth="1"/>
    <col min="9730" max="9730" width="62.4140625" style="52" customWidth="1"/>
    <col min="9731" max="9731" width="14.83203125" style="52" customWidth="1"/>
    <col min="9732" max="9732" width="17.25" style="52" customWidth="1"/>
    <col min="9733" max="9733" width="20.75" style="52" customWidth="1"/>
    <col min="9734" max="9734" width="33.83203125" style="52" customWidth="1"/>
    <col min="9735" max="9735" width="37.25" style="52" customWidth="1"/>
    <col min="9736" max="9736" width="18.58203125" style="52" customWidth="1"/>
    <col min="9737" max="9984" width="9" style="52"/>
    <col min="9985" max="9985" width="5.83203125" style="52" customWidth="1"/>
    <col min="9986" max="9986" width="62.4140625" style="52" customWidth="1"/>
    <col min="9987" max="9987" width="14.83203125" style="52" customWidth="1"/>
    <col min="9988" max="9988" width="17.25" style="52" customWidth="1"/>
    <col min="9989" max="9989" width="20.75" style="52" customWidth="1"/>
    <col min="9990" max="9990" width="33.83203125" style="52" customWidth="1"/>
    <col min="9991" max="9991" width="37.25" style="52" customWidth="1"/>
    <col min="9992" max="9992" width="18.58203125" style="52" customWidth="1"/>
    <col min="9993" max="10240" width="9" style="52"/>
    <col min="10241" max="10241" width="5.83203125" style="52" customWidth="1"/>
    <col min="10242" max="10242" width="62.4140625" style="52" customWidth="1"/>
    <col min="10243" max="10243" width="14.83203125" style="52" customWidth="1"/>
    <col min="10244" max="10244" width="17.25" style="52" customWidth="1"/>
    <col min="10245" max="10245" width="20.75" style="52" customWidth="1"/>
    <col min="10246" max="10246" width="33.83203125" style="52" customWidth="1"/>
    <col min="10247" max="10247" width="37.25" style="52" customWidth="1"/>
    <col min="10248" max="10248" width="18.58203125" style="52" customWidth="1"/>
    <col min="10249" max="10496" width="9" style="52"/>
    <col min="10497" max="10497" width="5.83203125" style="52" customWidth="1"/>
    <col min="10498" max="10498" width="62.4140625" style="52" customWidth="1"/>
    <col min="10499" max="10499" width="14.83203125" style="52" customWidth="1"/>
    <col min="10500" max="10500" width="17.25" style="52" customWidth="1"/>
    <col min="10501" max="10501" width="20.75" style="52" customWidth="1"/>
    <col min="10502" max="10502" width="33.83203125" style="52" customWidth="1"/>
    <col min="10503" max="10503" width="37.25" style="52" customWidth="1"/>
    <col min="10504" max="10504" width="18.58203125" style="52" customWidth="1"/>
    <col min="10505" max="10752" width="9" style="52"/>
    <col min="10753" max="10753" width="5.83203125" style="52" customWidth="1"/>
    <col min="10754" max="10754" width="62.4140625" style="52" customWidth="1"/>
    <col min="10755" max="10755" width="14.83203125" style="52" customWidth="1"/>
    <col min="10756" max="10756" width="17.25" style="52" customWidth="1"/>
    <col min="10757" max="10757" width="20.75" style="52" customWidth="1"/>
    <col min="10758" max="10758" width="33.83203125" style="52" customWidth="1"/>
    <col min="10759" max="10759" width="37.25" style="52" customWidth="1"/>
    <col min="10760" max="10760" width="18.58203125" style="52" customWidth="1"/>
    <col min="10761" max="11008" width="9" style="52"/>
    <col min="11009" max="11009" width="5.83203125" style="52" customWidth="1"/>
    <col min="11010" max="11010" width="62.4140625" style="52" customWidth="1"/>
    <col min="11011" max="11011" width="14.83203125" style="52" customWidth="1"/>
    <col min="11012" max="11012" width="17.25" style="52" customWidth="1"/>
    <col min="11013" max="11013" width="20.75" style="52" customWidth="1"/>
    <col min="11014" max="11014" width="33.83203125" style="52" customWidth="1"/>
    <col min="11015" max="11015" width="37.25" style="52" customWidth="1"/>
    <col min="11016" max="11016" width="18.58203125" style="52" customWidth="1"/>
    <col min="11017" max="11264" width="9" style="52"/>
    <col min="11265" max="11265" width="5.83203125" style="52" customWidth="1"/>
    <col min="11266" max="11266" width="62.4140625" style="52" customWidth="1"/>
    <col min="11267" max="11267" width="14.83203125" style="52" customWidth="1"/>
    <col min="11268" max="11268" width="17.25" style="52" customWidth="1"/>
    <col min="11269" max="11269" width="20.75" style="52" customWidth="1"/>
    <col min="11270" max="11270" width="33.83203125" style="52" customWidth="1"/>
    <col min="11271" max="11271" width="37.25" style="52" customWidth="1"/>
    <col min="11272" max="11272" width="18.58203125" style="52" customWidth="1"/>
    <col min="11273" max="11520" width="9" style="52"/>
    <col min="11521" max="11521" width="5.83203125" style="52" customWidth="1"/>
    <col min="11522" max="11522" width="62.4140625" style="52" customWidth="1"/>
    <col min="11523" max="11523" width="14.83203125" style="52" customWidth="1"/>
    <col min="11524" max="11524" width="17.25" style="52" customWidth="1"/>
    <col min="11525" max="11525" width="20.75" style="52" customWidth="1"/>
    <col min="11526" max="11526" width="33.83203125" style="52" customWidth="1"/>
    <col min="11527" max="11527" width="37.25" style="52" customWidth="1"/>
    <col min="11528" max="11528" width="18.58203125" style="52" customWidth="1"/>
    <col min="11529" max="11776" width="9" style="52"/>
    <col min="11777" max="11777" width="5.83203125" style="52" customWidth="1"/>
    <col min="11778" max="11778" width="62.4140625" style="52" customWidth="1"/>
    <col min="11779" max="11779" width="14.83203125" style="52" customWidth="1"/>
    <col min="11780" max="11780" width="17.25" style="52" customWidth="1"/>
    <col min="11781" max="11781" width="20.75" style="52" customWidth="1"/>
    <col min="11782" max="11782" width="33.83203125" style="52" customWidth="1"/>
    <col min="11783" max="11783" width="37.25" style="52" customWidth="1"/>
    <col min="11784" max="11784" width="18.58203125" style="52" customWidth="1"/>
    <col min="11785" max="12032" width="9" style="52"/>
    <col min="12033" max="12033" width="5.83203125" style="52" customWidth="1"/>
    <col min="12034" max="12034" width="62.4140625" style="52" customWidth="1"/>
    <col min="12035" max="12035" width="14.83203125" style="52" customWidth="1"/>
    <col min="12036" max="12036" width="17.25" style="52" customWidth="1"/>
    <col min="12037" max="12037" width="20.75" style="52" customWidth="1"/>
    <col min="12038" max="12038" width="33.83203125" style="52" customWidth="1"/>
    <col min="12039" max="12039" width="37.25" style="52" customWidth="1"/>
    <col min="12040" max="12040" width="18.58203125" style="52" customWidth="1"/>
    <col min="12041" max="12288" width="9" style="52"/>
    <col min="12289" max="12289" width="5.83203125" style="52" customWidth="1"/>
    <col min="12290" max="12290" width="62.4140625" style="52" customWidth="1"/>
    <col min="12291" max="12291" width="14.83203125" style="52" customWidth="1"/>
    <col min="12292" max="12292" width="17.25" style="52" customWidth="1"/>
    <col min="12293" max="12293" width="20.75" style="52" customWidth="1"/>
    <col min="12294" max="12294" width="33.83203125" style="52" customWidth="1"/>
    <col min="12295" max="12295" width="37.25" style="52" customWidth="1"/>
    <col min="12296" max="12296" width="18.58203125" style="52" customWidth="1"/>
    <col min="12297" max="12544" width="9" style="52"/>
    <col min="12545" max="12545" width="5.83203125" style="52" customWidth="1"/>
    <col min="12546" max="12546" width="62.4140625" style="52" customWidth="1"/>
    <col min="12547" max="12547" width="14.83203125" style="52" customWidth="1"/>
    <col min="12548" max="12548" width="17.25" style="52" customWidth="1"/>
    <col min="12549" max="12549" width="20.75" style="52" customWidth="1"/>
    <col min="12550" max="12550" width="33.83203125" style="52" customWidth="1"/>
    <col min="12551" max="12551" width="37.25" style="52" customWidth="1"/>
    <col min="12552" max="12552" width="18.58203125" style="52" customWidth="1"/>
    <col min="12553" max="12800" width="9" style="52"/>
    <col min="12801" max="12801" width="5.83203125" style="52" customWidth="1"/>
    <col min="12802" max="12802" width="62.4140625" style="52" customWidth="1"/>
    <col min="12803" max="12803" width="14.83203125" style="52" customWidth="1"/>
    <col min="12804" max="12804" width="17.25" style="52" customWidth="1"/>
    <col min="12805" max="12805" width="20.75" style="52" customWidth="1"/>
    <col min="12806" max="12806" width="33.83203125" style="52" customWidth="1"/>
    <col min="12807" max="12807" width="37.25" style="52" customWidth="1"/>
    <col min="12808" max="12808" width="18.58203125" style="52" customWidth="1"/>
    <col min="12809" max="13056" width="9" style="52"/>
    <col min="13057" max="13057" width="5.83203125" style="52" customWidth="1"/>
    <col min="13058" max="13058" width="62.4140625" style="52" customWidth="1"/>
    <col min="13059" max="13059" width="14.83203125" style="52" customWidth="1"/>
    <col min="13060" max="13060" width="17.25" style="52" customWidth="1"/>
    <col min="13061" max="13061" width="20.75" style="52" customWidth="1"/>
    <col min="13062" max="13062" width="33.83203125" style="52" customWidth="1"/>
    <col min="13063" max="13063" width="37.25" style="52" customWidth="1"/>
    <col min="13064" max="13064" width="18.58203125" style="52" customWidth="1"/>
    <col min="13065" max="13312" width="9" style="52"/>
    <col min="13313" max="13313" width="5.83203125" style="52" customWidth="1"/>
    <col min="13314" max="13314" width="62.4140625" style="52" customWidth="1"/>
    <col min="13315" max="13315" width="14.83203125" style="52" customWidth="1"/>
    <col min="13316" max="13316" width="17.25" style="52" customWidth="1"/>
    <col min="13317" max="13317" width="20.75" style="52" customWidth="1"/>
    <col min="13318" max="13318" width="33.83203125" style="52" customWidth="1"/>
    <col min="13319" max="13319" width="37.25" style="52" customWidth="1"/>
    <col min="13320" max="13320" width="18.58203125" style="52" customWidth="1"/>
    <col min="13321" max="13568" width="9" style="52"/>
    <col min="13569" max="13569" width="5.83203125" style="52" customWidth="1"/>
    <col min="13570" max="13570" width="62.4140625" style="52" customWidth="1"/>
    <col min="13571" max="13571" width="14.83203125" style="52" customWidth="1"/>
    <col min="13572" max="13572" width="17.25" style="52" customWidth="1"/>
    <col min="13573" max="13573" width="20.75" style="52" customWidth="1"/>
    <col min="13574" max="13574" width="33.83203125" style="52" customWidth="1"/>
    <col min="13575" max="13575" width="37.25" style="52" customWidth="1"/>
    <col min="13576" max="13576" width="18.58203125" style="52" customWidth="1"/>
    <col min="13577" max="13824" width="9" style="52"/>
    <col min="13825" max="13825" width="5.83203125" style="52" customWidth="1"/>
    <col min="13826" max="13826" width="62.4140625" style="52" customWidth="1"/>
    <col min="13827" max="13827" width="14.83203125" style="52" customWidth="1"/>
    <col min="13828" max="13828" width="17.25" style="52" customWidth="1"/>
    <col min="13829" max="13829" width="20.75" style="52" customWidth="1"/>
    <col min="13830" max="13830" width="33.83203125" style="52" customWidth="1"/>
    <col min="13831" max="13831" width="37.25" style="52" customWidth="1"/>
    <col min="13832" max="13832" width="18.58203125" style="52" customWidth="1"/>
    <col min="13833" max="14080" width="9" style="52"/>
    <col min="14081" max="14081" width="5.83203125" style="52" customWidth="1"/>
    <col min="14082" max="14082" width="62.4140625" style="52" customWidth="1"/>
    <col min="14083" max="14083" width="14.83203125" style="52" customWidth="1"/>
    <col min="14084" max="14084" width="17.25" style="52" customWidth="1"/>
    <col min="14085" max="14085" width="20.75" style="52" customWidth="1"/>
    <col min="14086" max="14086" width="33.83203125" style="52" customWidth="1"/>
    <col min="14087" max="14087" width="37.25" style="52" customWidth="1"/>
    <col min="14088" max="14088" width="18.58203125" style="52" customWidth="1"/>
    <col min="14089" max="14336" width="9" style="52"/>
    <col min="14337" max="14337" width="5.83203125" style="52" customWidth="1"/>
    <col min="14338" max="14338" width="62.4140625" style="52" customWidth="1"/>
    <col min="14339" max="14339" width="14.83203125" style="52" customWidth="1"/>
    <col min="14340" max="14340" width="17.25" style="52" customWidth="1"/>
    <col min="14341" max="14341" width="20.75" style="52" customWidth="1"/>
    <col min="14342" max="14342" width="33.83203125" style="52" customWidth="1"/>
    <col min="14343" max="14343" width="37.25" style="52" customWidth="1"/>
    <col min="14344" max="14344" width="18.58203125" style="52" customWidth="1"/>
    <col min="14345" max="14592" width="9" style="52"/>
    <col min="14593" max="14593" width="5.83203125" style="52" customWidth="1"/>
    <col min="14594" max="14594" width="62.4140625" style="52" customWidth="1"/>
    <col min="14595" max="14595" width="14.83203125" style="52" customWidth="1"/>
    <col min="14596" max="14596" width="17.25" style="52" customWidth="1"/>
    <col min="14597" max="14597" width="20.75" style="52" customWidth="1"/>
    <col min="14598" max="14598" width="33.83203125" style="52" customWidth="1"/>
    <col min="14599" max="14599" width="37.25" style="52" customWidth="1"/>
    <col min="14600" max="14600" width="18.58203125" style="52" customWidth="1"/>
    <col min="14601" max="14848" width="9" style="52"/>
    <col min="14849" max="14849" width="5.83203125" style="52" customWidth="1"/>
    <col min="14850" max="14850" width="62.4140625" style="52" customWidth="1"/>
    <col min="14851" max="14851" width="14.83203125" style="52" customWidth="1"/>
    <col min="14852" max="14852" width="17.25" style="52" customWidth="1"/>
    <col min="14853" max="14853" width="20.75" style="52" customWidth="1"/>
    <col min="14854" max="14854" width="33.83203125" style="52" customWidth="1"/>
    <col min="14855" max="14855" width="37.25" style="52" customWidth="1"/>
    <col min="14856" max="14856" width="18.58203125" style="52" customWidth="1"/>
    <col min="14857" max="15104" width="9" style="52"/>
    <col min="15105" max="15105" width="5.83203125" style="52" customWidth="1"/>
    <col min="15106" max="15106" width="62.4140625" style="52" customWidth="1"/>
    <col min="15107" max="15107" width="14.83203125" style="52" customWidth="1"/>
    <col min="15108" max="15108" width="17.25" style="52" customWidth="1"/>
    <col min="15109" max="15109" width="20.75" style="52" customWidth="1"/>
    <col min="15110" max="15110" width="33.83203125" style="52" customWidth="1"/>
    <col min="15111" max="15111" width="37.25" style="52" customWidth="1"/>
    <col min="15112" max="15112" width="18.58203125" style="52" customWidth="1"/>
    <col min="15113" max="15360" width="9" style="52"/>
    <col min="15361" max="15361" width="5.83203125" style="52" customWidth="1"/>
    <col min="15362" max="15362" width="62.4140625" style="52" customWidth="1"/>
    <col min="15363" max="15363" width="14.83203125" style="52" customWidth="1"/>
    <col min="15364" max="15364" width="17.25" style="52" customWidth="1"/>
    <col min="15365" max="15365" width="20.75" style="52" customWidth="1"/>
    <col min="15366" max="15366" width="33.83203125" style="52" customWidth="1"/>
    <col min="15367" max="15367" width="37.25" style="52" customWidth="1"/>
    <col min="15368" max="15368" width="18.58203125" style="52" customWidth="1"/>
    <col min="15369" max="15616" width="9" style="52"/>
    <col min="15617" max="15617" width="5.83203125" style="52" customWidth="1"/>
    <col min="15618" max="15618" width="62.4140625" style="52" customWidth="1"/>
    <col min="15619" max="15619" width="14.83203125" style="52" customWidth="1"/>
    <col min="15620" max="15620" width="17.25" style="52" customWidth="1"/>
    <col min="15621" max="15621" width="20.75" style="52" customWidth="1"/>
    <col min="15622" max="15622" width="33.83203125" style="52" customWidth="1"/>
    <col min="15623" max="15623" width="37.25" style="52" customWidth="1"/>
    <col min="15624" max="15624" width="18.58203125" style="52" customWidth="1"/>
    <col min="15625" max="15872" width="9" style="52"/>
    <col min="15873" max="15873" width="5.83203125" style="52" customWidth="1"/>
    <col min="15874" max="15874" width="62.4140625" style="52" customWidth="1"/>
    <col min="15875" max="15875" width="14.83203125" style="52" customWidth="1"/>
    <col min="15876" max="15876" width="17.25" style="52" customWidth="1"/>
    <col min="15877" max="15877" width="20.75" style="52" customWidth="1"/>
    <col min="15878" max="15878" width="33.83203125" style="52" customWidth="1"/>
    <col min="15879" max="15879" width="37.25" style="52" customWidth="1"/>
    <col min="15880" max="15880" width="18.58203125" style="52" customWidth="1"/>
    <col min="15881" max="16128" width="9" style="52"/>
    <col min="16129" max="16129" width="5.83203125" style="52" customWidth="1"/>
    <col min="16130" max="16130" width="62.4140625" style="52" customWidth="1"/>
    <col min="16131" max="16131" width="14.83203125" style="52" customWidth="1"/>
    <col min="16132" max="16132" width="17.25" style="52" customWidth="1"/>
    <col min="16133" max="16133" width="20.75" style="52" customWidth="1"/>
    <col min="16134" max="16134" width="33.83203125" style="52" customWidth="1"/>
    <col min="16135" max="16135" width="37.25" style="52" customWidth="1"/>
    <col min="16136" max="16136" width="18.58203125" style="52" customWidth="1"/>
    <col min="16137" max="16384" width="9" style="52"/>
  </cols>
  <sheetData>
    <row r="1" spans="1:8" ht="35.25" customHeight="1">
      <c r="A1" s="495" t="s">
        <v>866</v>
      </c>
      <c r="B1" s="496"/>
      <c r="C1" s="497" t="s">
        <v>877</v>
      </c>
      <c r="D1" s="498"/>
      <c r="E1" s="498"/>
      <c r="F1" s="498"/>
      <c r="G1" s="498"/>
      <c r="H1" s="498"/>
    </row>
    <row r="2" spans="1:8" ht="15.5" thickBot="1">
      <c r="A2" s="499" t="s">
        <v>18</v>
      </c>
      <c r="B2" s="499"/>
      <c r="C2" s="500" t="s">
        <v>874</v>
      </c>
      <c r="D2" s="499"/>
      <c r="E2" s="499"/>
      <c r="F2" s="499"/>
      <c r="G2" s="499"/>
      <c r="H2" s="499"/>
    </row>
    <row r="3" spans="1:8" ht="16" thickTop="1">
      <c r="A3" s="229"/>
      <c r="B3" s="397"/>
      <c r="C3" s="229"/>
      <c r="D3" s="333"/>
      <c r="E3" s="333"/>
      <c r="F3" s="397"/>
      <c r="G3" s="229"/>
      <c r="H3" s="221"/>
    </row>
    <row r="4" spans="1:8" ht="15.5">
      <c r="A4" s="229"/>
      <c r="B4" s="398"/>
      <c r="C4" s="501"/>
      <c r="D4" s="501"/>
      <c r="E4" s="501"/>
      <c r="F4" s="501"/>
      <c r="G4" s="502"/>
      <c r="H4" s="44" t="s">
        <v>1</v>
      </c>
    </row>
    <row r="5" spans="1:8" ht="20">
      <c r="A5" s="469" t="s">
        <v>24</v>
      </c>
      <c r="B5" s="469"/>
      <c r="C5" s="469"/>
      <c r="D5" s="469"/>
      <c r="E5" s="469"/>
      <c r="F5" s="469"/>
      <c r="G5" s="469"/>
      <c r="H5" s="470"/>
    </row>
    <row r="6" spans="1:8" ht="15">
      <c r="A6" s="503" t="s">
        <v>875</v>
      </c>
      <c r="B6" s="504"/>
      <c r="C6" s="504"/>
      <c r="D6" s="504"/>
      <c r="E6" s="504"/>
      <c r="F6" s="504"/>
      <c r="G6" s="504"/>
      <c r="H6" s="505"/>
    </row>
    <row r="7" spans="1:8">
      <c r="A7" s="471" t="s">
        <v>2</v>
      </c>
      <c r="B7" s="472" t="s">
        <v>3</v>
      </c>
      <c r="C7" s="455" t="s">
        <v>4</v>
      </c>
      <c r="D7" s="473" t="s">
        <v>5</v>
      </c>
      <c r="E7" s="473"/>
      <c r="F7" s="472" t="s">
        <v>6</v>
      </c>
      <c r="G7" s="455" t="s">
        <v>7</v>
      </c>
      <c r="H7" s="455" t="s">
        <v>392</v>
      </c>
    </row>
    <row r="8" spans="1:8">
      <c r="A8" s="471"/>
      <c r="B8" s="472"/>
      <c r="C8" s="455"/>
      <c r="D8" s="82" t="s">
        <v>8</v>
      </c>
      <c r="E8" s="82" t="s">
        <v>9</v>
      </c>
      <c r="F8" s="472"/>
      <c r="G8" s="455"/>
      <c r="H8" s="455"/>
    </row>
    <row r="9" spans="1:8" ht="15.5">
      <c r="A9" s="104" t="s">
        <v>10</v>
      </c>
      <c r="B9" s="352" t="s">
        <v>11</v>
      </c>
      <c r="C9" s="44" t="s">
        <v>12</v>
      </c>
      <c r="D9" s="87"/>
      <c r="E9" s="87"/>
      <c r="F9" s="407"/>
      <c r="G9" s="50"/>
      <c r="H9" s="44"/>
    </row>
    <row r="10" spans="1:8" ht="15.5">
      <c r="A10" s="41">
        <v>1</v>
      </c>
      <c r="B10" s="222" t="s">
        <v>255</v>
      </c>
      <c r="C10" s="43" t="s">
        <v>12</v>
      </c>
      <c r="D10" s="463" t="s">
        <v>68</v>
      </c>
      <c r="E10" s="464"/>
      <c r="F10" s="402" t="s">
        <v>664</v>
      </c>
      <c r="G10" s="56"/>
      <c r="H10" s="104" t="s">
        <v>84</v>
      </c>
    </row>
    <row r="11" spans="1:8" ht="31">
      <c r="A11" s="48" t="s">
        <v>552</v>
      </c>
      <c r="B11" s="402" t="s">
        <v>896</v>
      </c>
      <c r="C11" s="403" t="s">
        <v>39</v>
      </c>
      <c r="D11" s="404" t="s">
        <v>897</v>
      </c>
      <c r="E11" s="404" t="s">
        <v>897</v>
      </c>
      <c r="F11" s="402" t="s">
        <v>664</v>
      </c>
      <c r="G11" s="403"/>
      <c r="H11" s="44"/>
    </row>
    <row r="12" spans="1:8" ht="15.5">
      <c r="A12" s="48" t="s">
        <v>553</v>
      </c>
      <c r="B12" s="402" t="s">
        <v>901</v>
      </c>
      <c r="C12" s="403" t="s">
        <v>39</v>
      </c>
      <c r="D12" s="421">
        <v>45931</v>
      </c>
      <c r="E12" s="421">
        <v>45931</v>
      </c>
      <c r="F12" s="402" t="s">
        <v>664</v>
      </c>
      <c r="G12" s="403"/>
      <c r="H12" s="44"/>
    </row>
    <row r="13" spans="1:8" ht="30">
      <c r="A13" s="41">
        <v>2</v>
      </c>
      <c r="B13" s="222" t="s">
        <v>257</v>
      </c>
      <c r="C13" s="43" t="s">
        <v>12</v>
      </c>
      <c r="D13" s="463" t="s">
        <v>68</v>
      </c>
      <c r="E13" s="464"/>
      <c r="F13" s="310" t="s">
        <v>534</v>
      </c>
      <c r="G13" s="56"/>
      <c r="H13" s="104" t="s">
        <v>84</v>
      </c>
    </row>
    <row r="14" spans="1:8" s="409" customFormat="1" ht="15.5">
      <c r="A14" s="336" t="s">
        <v>567</v>
      </c>
      <c r="B14" s="402"/>
      <c r="C14" s="403"/>
      <c r="D14" s="404"/>
      <c r="E14" s="404"/>
      <c r="F14" s="402"/>
      <c r="G14" s="403"/>
      <c r="H14" s="408"/>
    </row>
    <row r="15" spans="1:8" ht="31">
      <c r="A15" s="41">
        <v>3</v>
      </c>
      <c r="B15" s="222" t="s">
        <v>259</v>
      </c>
      <c r="C15" s="43" t="s">
        <v>12</v>
      </c>
      <c r="D15" s="463" t="s">
        <v>260</v>
      </c>
      <c r="E15" s="464"/>
      <c r="F15" s="217" t="s">
        <v>535</v>
      </c>
      <c r="G15" s="56" t="s">
        <v>864</v>
      </c>
      <c r="H15" s="44" t="s">
        <v>84</v>
      </c>
    </row>
    <row r="16" spans="1:8" ht="31">
      <c r="A16" s="48" t="s">
        <v>75</v>
      </c>
      <c r="B16" s="402" t="s">
        <v>894</v>
      </c>
      <c r="C16" s="403" t="s">
        <v>12</v>
      </c>
      <c r="D16" s="404" t="s">
        <v>895</v>
      </c>
      <c r="E16" s="404" t="s">
        <v>891</v>
      </c>
      <c r="F16" s="402" t="s">
        <v>664</v>
      </c>
      <c r="G16" s="153"/>
      <c r="H16" s="44"/>
    </row>
    <row r="17" spans="1:12" ht="30">
      <c r="A17" s="41">
        <v>4</v>
      </c>
      <c r="B17" s="310" t="s">
        <v>778</v>
      </c>
      <c r="C17" s="43" t="s">
        <v>39</v>
      </c>
      <c r="D17" s="463" t="s">
        <v>68</v>
      </c>
      <c r="E17" s="464"/>
      <c r="F17" s="385" t="s">
        <v>779</v>
      </c>
      <c r="G17" s="153"/>
      <c r="H17" s="44" t="s">
        <v>84</v>
      </c>
    </row>
    <row r="18" spans="1:12" s="409" customFormat="1" ht="15.5">
      <c r="A18" s="336" t="s">
        <v>346</v>
      </c>
      <c r="B18" s="402" t="s">
        <v>892</v>
      </c>
      <c r="C18" s="403" t="s">
        <v>39</v>
      </c>
      <c r="D18" s="403">
        <v>45936</v>
      </c>
      <c r="E18" s="403">
        <v>45936</v>
      </c>
      <c r="F18" s="402" t="s">
        <v>664</v>
      </c>
      <c r="G18" s="403"/>
      <c r="H18" s="408"/>
    </row>
    <row r="19" spans="1:12" s="409" customFormat="1" ht="15.5">
      <c r="A19" s="336">
        <v>4.2</v>
      </c>
      <c r="B19" s="402" t="s">
        <v>893</v>
      </c>
      <c r="C19" s="403" t="s">
        <v>39</v>
      </c>
      <c r="D19" s="420">
        <v>45937</v>
      </c>
      <c r="E19" s="420">
        <v>45937</v>
      </c>
      <c r="F19" s="402" t="s">
        <v>664</v>
      </c>
      <c r="G19" s="403"/>
      <c r="H19" s="408"/>
    </row>
    <row r="20" spans="1:12" s="409" customFormat="1" ht="31">
      <c r="A20" s="336">
        <v>4.3</v>
      </c>
      <c r="B20" s="402" t="s">
        <v>902</v>
      </c>
      <c r="C20" s="403" t="s">
        <v>39</v>
      </c>
      <c r="D20" s="420">
        <v>45929</v>
      </c>
      <c r="E20" s="420">
        <v>45929</v>
      </c>
      <c r="F20" s="402" t="s">
        <v>664</v>
      </c>
      <c r="G20" s="403"/>
      <c r="H20" s="408"/>
    </row>
    <row r="21" spans="1:12" ht="93">
      <c r="A21" s="248">
        <v>5</v>
      </c>
      <c r="B21" s="410" t="s">
        <v>707</v>
      </c>
      <c r="C21" s="249" t="s">
        <v>39</v>
      </c>
      <c r="D21" s="493" t="s">
        <v>68</v>
      </c>
      <c r="E21" s="494"/>
      <c r="F21" s="386" t="s">
        <v>571</v>
      </c>
      <c r="G21" s="289" t="s">
        <v>572</v>
      </c>
      <c r="H21" s="264" t="s">
        <v>393</v>
      </c>
    </row>
    <row r="22" spans="1:12" s="409" customFormat="1" ht="31">
      <c r="A22" s="336" t="s">
        <v>348</v>
      </c>
      <c r="B22" s="405" t="s">
        <v>879</v>
      </c>
      <c r="C22" s="403" t="s">
        <v>39</v>
      </c>
      <c r="D22" s="403">
        <v>45922</v>
      </c>
      <c r="E22" s="403">
        <v>45922</v>
      </c>
      <c r="F22" s="402" t="s">
        <v>664</v>
      </c>
      <c r="G22" s="403"/>
      <c r="H22" s="408"/>
    </row>
    <row r="23" spans="1:12" s="409" customFormat="1" ht="15.5">
      <c r="A23" s="336" t="s">
        <v>349</v>
      </c>
      <c r="B23" s="405" t="s">
        <v>880</v>
      </c>
      <c r="C23" s="403" t="s">
        <v>39</v>
      </c>
      <c r="D23" s="406">
        <v>45923</v>
      </c>
      <c r="E23" s="406">
        <v>45923</v>
      </c>
      <c r="F23" s="402" t="s">
        <v>664</v>
      </c>
      <c r="G23" s="403"/>
      <c r="H23" s="408"/>
      <c r="L23" s="411"/>
    </row>
    <row r="24" spans="1:12" s="409" customFormat="1" ht="31">
      <c r="A24" s="336" t="s">
        <v>538</v>
      </c>
      <c r="B24" s="405" t="s">
        <v>883</v>
      </c>
      <c r="C24" s="403" t="s">
        <v>39</v>
      </c>
      <c r="D24" s="406">
        <v>45923</v>
      </c>
      <c r="E24" s="406">
        <v>45923</v>
      </c>
      <c r="F24" s="402" t="s">
        <v>664</v>
      </c>
      <c r="G24" s="403"/>
      <c r="H24" s="408"/>
    </row>
    <row r="25" spans="1:12" s="409" customFormat="1" ht="31">
      <c r="A25" s="336" t="s">
        <v>539</v>
      </c>
      <c r="B25" s="405" t="s">
        <v>884</v>
      </c>
      <c r="C25" s="403" t="s">
        <v>39</v>
      </c>
      <c r="D25" s="406">
        <v>45925</v>
      </c>
      <c r="E25" s="406">
        <v>45925</v>
      </c>
      <c r="F25" s="402" t="s">
        <v>664</v>
      </c>
      <c r="G25" s="403"/>
      <c r="H25" s="408"/>
    </row>
    <row r="26" spans="1:12" s="409" customFormat="1" ht="31">
      <c r="A26" s="336" t="s">
        <v>540</v>
      </c>
      <c r="B26" s="402" t="s">
        <v>886</v>
      </c>
      <c r="C26" s="403" t="s">
        <v>39</v>
      </c>
      <c r="D26" s="406">
        <v>45925</v>
      </c>
      <c r="E26" s="406">
        <v>45925</v>
      </c>
      <c r="F26" s="402" t="s">
        <v>664</v>
      </c>
      <c r="G26" s="403"/>
      <c r="H26" s="408"/>
    </row>
    <row r="27" spans="1:12" s="409" customFormat="1" ht="15.5">
      <c r="A27" s="336"/>
      <c r="B27" s="402" t="s">
        <v>913</v>
      </c>
      <c r="C27" s="403" t="s">
        <v>39</v>
      </c>
      <c r="D27" s="406">
        <v>45926</v>
      </c>
      <c r="E27" s="406">
        <v>45926</v>
      </c>
      <c r="F27" s="402" t="s">
        <v>664</v>
      </c>
      <c r="G27" s="403"/>
      <c r="H27" s="408"/>
    </row>
    <row r="28" spans="1:12" s="409" customFormat="1" ht="15.5">
      <c r="A28" s="336"/>
      <c r="B28" s="402" t="s">
        <v>914</v>
      </c>
      <c r="C28" s="403"/>
      <c r="D28" s="406"/>
      <c r="E28" s="406"/>
      <c r="F28" s="402"/>
      <c r="G28" s="403"/>
      <c r="H28" s="408"/>
    </row>
    <row r="29" spans="1:12" s="409" customFormat="1" ht="31">
      <c r="A29" s="336" t="s">
        <v>541</v>
      </c>
      <c r="B29" s="405" t="s">
        <v>904</v>
      </c>
      <c r="C29" s="403" t="s">
        <v>39</v>
      </c>
      <c r="D29" s="406">
        <v>45932</v>
      </c>
      <c r="E29" s="406">
        <v>45932</v>
      </c>
      <c r="F29" s="402" t="s">
        <v>664</v>
      </c>
      <c r="G29" s="403"/>
      <c r="H29" s="408"/>
    </row>
    <row r="30" spans="1:12" s="409" customFormat="1" ht="31">
      <c r="A30" s="336" t="s">
        <v>542</v>
      </c>
      <c r="B30" s="405" t="s">
        <v>905</v>
      </c>
      <c r="C30" s="403" t="s">
        <v>39</v>
      </c>
      <c r="D30" s="406">
        <v>45933</v>
      </c>
      <c r="E30" s="406">
        <v>45933</v>
      </c>
      <c r="F30" s="402" t="s">
        <v>664</v>
      </c>
      <c r="G30" s="403"/>
      <c r="H30" s="408"/>
    </row>
    <row r="31" spans="1:12" s="409" customFormat="1" ht="31">
      <c r="A31" s="336" t="s">
        <v>543</v>
      </c>
      <c r="B31" s="405" t="s">
        <v>906</v>
      </c>
      <c r="C31" s="403" t="s">
        <v>39</v>
      </c>
      <c r="D31" s="406">
        <v>45933</v>
      </c>
      <c r="E31" s="406">
        <v>45933</v>
      </c>
      <c r="F31" s="402" t="s">
        <v>664</v>
      </c>
      <c r="G31" s="403"/>
      <c r="H31" s="408"/>
    </row>
    <row r="32" spans="1:12" s="409" customFormat="1" ht="31">
      <c r="A32" s="336"/>
      <c r="B32" s="405" t="s">
        <v>916</v>
      </c>
      <c r="C32" s="403" t="s">
        <v>39</v>
      </c>
      <c r="D32" s="406">
        <v>45934</v>
      </c>
      <c r="E32" s="406">
        <v>45934</v>
      </c>
      <c r="F32" s="402" t="s">
        <v>664</v>
      </c>
      <c r="G32" s="403"/>
      <c r="H32" s="408"/>
    </row>
    <row r="33" spans="1:8" s="409" customFormat="1" ht="31">
      <c r="A33" s="336" t="s">
        <v>544</v>
      </c>
      <c r="B33" s="405" t="s">
        <v>907</v>
      </c>
      <c r="C33" s="403" t="s">
        <v>39</v>
      </c>
      <c r="D33" s="406">
        <v>45937</v>
      </c>
      <c r="E33" s="406">
        <v>45937</v>
      </c>
      <c r="F33" s="402" t="s">
        <v>664</v>
      </c>
      <c r="G33" s="403"/>
      <c r="H33" s="408"/>
    </row>
    <row r="34" spans="1:8" s="409" customFormat="1" ht="31">
      <c r="A34" s="336" t="s">
        <v>545</v>
      </c>
      <c r="B34" s="405" t="s">
        <v>908</v>
      </c>
      <c r="C34" s="403" t="s">
        <v>39</v>
      </c>
      <c r="D34" s="406">
        <v>45938</v>
      </c>
      <c r="E34" s="406">
        <v>45938</v>
      </c>
      <c r="F34" s="402" t="s">
        <v>664</v>
      </c>
      <c r="G34" s="403"/>
      <c r="H34" s="408"/>
    </row>
    <row r="35" spans="1:8" s="409" customFormat="1" ht="31">
      <c r="A35" s="336" t="s">
        <v>546</v>
      </c>
      <c r="B35" s="405" t="s">
        <v>909</v>
      </c>
      <c r="C35" s="403" t="s">
        <v>39</v>
      </c>
      <c r="D35" s="406">
        <v>45938</v>
      </c>
      <c r="E35" s="406">
        <v>45938</v>
      </c>
      <c r="F35" s="402" t="s">
        <v>664</v>
      </c>
      <c r="G35" s="403"/>
      <c r="H35" s="408"/>
    </row>
    <row r="36" spans="1:8" s="409" customFormat="1" ht="31">
      <c r="A36" s="336" t="s">
        <v>805</v>
      </c>
      <c r="B36" s="405" t="s">
        <v>910</v>
      </c>
      <c r="C36" s="403" t="s">
        <v>39</v>
      </c>
      <c r="D36" s="406">
        <v>45939</v>
      </c>
      <c r="E36" s="406">
        <v>45939</v>
      </c>
      <c r="F36" s="402" t="s">
        <v>664</v>
      </c>
      <c r="G36" s="403"/>
      <c r="H36" s="408"/>
    </row>
    <row r="37" spans="1:8" s="409" customFormat="1" ht="15.5">
      <c r="A37" s="336" t="s">
        <v>806</v>
      </c>
      <c r="B37" s="405" t="s">
        <v>911</v>
      </c>
      <c r="C37" s="403" t="s">
        <v>39</v>
      </c>
      <c r="D37" s="406">
        <v>45939</v>
      </c>
      <c r="E37" s="406">
        <v>45939</v>
      </c>
      <c r="F37" s="402" t="s">
        <v>664</v>
      </c>
      <c r="G37" s="403"/>
      <c r="H37" s="408"/>
    </row>
    <row r="38" spans="1:8" s="409" customFormat="1" ht="15.5">
      <c r="A38" s="336" t="s">
        <v>807</v>
      </c>
      <c r="B38" s="405" t="s">
        <v>912</v>
      </c>
      <c r="C38" s="403" t="s">
        <v>39</v>
      </c>
      <c r="D38" s="406">
        <v>45941</v>
      </c>
      <c r="E38" s="406">
        <v>45941</v>
      </c>
      <c r="F38" s="402" t="s">
        <v>664</v>
      </c>
      <c r="G38" s="403"/>
      <c r="H38" s="408"/>
    </row>
    <row r="39" spans="1:8" s="409" customFormat="1" ht="15.5">
      <c r="A39" s="336" t="s">
        <v>808</v>
      </c>
      <c r="B39" s="405" t="s">
        <v>912</v>
      </c>
      <c r="C39" s="403" t="s">
        <v>39</v>
      </c>
      <c r="D39" s="406" t="s">
        <v>915</v>
      </c>
      <c r="E39" s="406" t="s">
        <v>915</v>
      </c>
      <c r="F39" s="402" t="s">
        <v>664</v>
      </c>
      <c r="G39" s="403"/>
      <c r="H39" s="408"/>
    </row>
    <row r="40" spans="1:8" s="409" customFormat="1" ht="31">
      <c r="A40" s="336" t="s">
        <v>809</v>
      </c>
      <c r="B40" s="405" t="s">
        <v>918</v>
      </c>
      <c r="C40" s="403" t="s">
        <v>39</v>
      </c>
      <c r="D40" s="406" t="s">
        <v>919</v>
      </c>
      <c r="E40" s="406" t="s">
        <v>919</v>
      </c>
      <c r="F40" s="402" t="s">
        <v>664</v>
      </c>
      <c r="G40" s="403"/>
      <c r="H40" s="408"/>
    </row>
    <row r="41" spans="1:8" s="409" customFormat="1" ht="15.5">
      <c r="A41" s="336" t="s">
        <v>810</v>
      </c>
      <c r="B41" s="405"/>
      <c r="C41" s="403"/>
      <c r="D41" s="406"/>
      <c r="E41" s="406"/>
      <c r="F41" s="402"/>
      <c r="G41" s="403"/>
      <c r="H41" s="408"/>
    </row>
    <row r="42" spans="1:8" s="409" customFormat="1" ht="15.5">
      <c r="A42" s="336" t="s">
        <v>811</v>
      </c>
      <c r="B42" s="405"/>
      <c r="C42" s="403"/>
      <c r="D42" s="406"/>
      <c r="E42" s="406"/>
      <c r="F42" s="402"/>
      <c r="G42" s="403"/>
      <c r="H42" s="408"/>
    </row>
    <row r="43" spans="1:8" s="409" customFormat="1" ht="15.5">
      <c r="A43" s="336" t="s">
        <v>812</v>
      </c>
      <c r="B43" s="405"/>
      <c r="C43" s="403"/>
      <c r="D43" s="406"/>
      <c r="E43" s="406"/>
      <c r="F43" s="402"/>
      <c r="G43" s="403"/>
      <c r="H43" s="408"/>
    </row>
    <row r="44" spans="1:8" s="224" customFormat="1" ht="15.5">
      <c r="A44" s="265">
        <v>6</v>
      </c>
      <c r="B44" s="369" t="s">
        <v>537</v>
      </c>
      <c r="C44" s="266"/>
      <c r="D44" s="340"/>
      <c r="E44" s="340"/>
      <c r="F44" s="386"/>
      <c r="G44" s="412"/>
      <c r="H44" s="265" t="s">
        <v>84</v>
      </c>
    </row>
    <row r="45" spans="1:8" s="409" customFormat="1" ht="15.5">
      <c r="A45" s="336" t="s">
        <v>431</v>
      </c>
      <c r="B45" s="405" t="s">
        <v>876</v>
      </c>
      <c r="C45" s="403" t="s">
        <v>39</v>
      </c>
      <c r="D45" s="403">
        <v>45922</v>
      </c>
      <c r="E45" s="403">
        <v>45922</v>
      </c>
      <c r="F45" s="402" t="s">
        <v>664</v>
      </c>
      <c r="G45" s="403"/>
      <c r="H45" s="408"/>
    </row>
    <row r="46" spans="1:8" s="409" customFormat="1" ht="31">
      <c r="A46" s="336" t="s">
        <v>435</v>
      </c>
      <c r="B46" s="405" t="s">
        <v>878</v>
      </c>
      <c r="C46" s="403" t="s">
        <v>39</v>
      </c>
      <c r="D46" s="403">
        <v>45922</v>
      </c>
      <c r="E46" s="403">
        <v>45922</v>
      </c>
      <c r="F46" s="402" t="s">
        <v>664</v>
      </c>
      <c r="G46" s="403"/>
      <c r="H46" s="408"/>
    </row>
    <row r="47" spans="1:8" s="409" customFormat="1" ht="31">
      <c r="A47" s="336" t="s">
        <v>436</v>
      </c>
      <c r="B47" s="402" t="s">
        <v>881</v>
      </c>
      <c r="C47" s="403" t="s">
        <v>39</v>
      </c>
      <c r="D47" s="406">
        <v>45924</v>
      </c>
      <c r="E47" s="406">
        <v>45924</v>
      </c>
      <c r="F47" s="402" t="s">
        <v>664</v>
      </c>
      <c r="G47" s="403"/>
      <c r="H47" s="408"/>
    </row>
    <row r="48" spans="1:8" s="409" customFormat="1" ht="31">
      <c r="A48" s="336" t="s">
        <v>437</v>
      </c>
      <c r="B48" s="405" t="s">
        <v>882</v>
      </c>
      <c r="C48" s="403" t="s">
        <v>39</v>
      </c>
      <c r="D48" s="406">
        <v>45924</v>
      </c>
      <c r="E48" s="406">
        <v>45924</v>
      </c>
      <c r="F48" s="402" t="s">
        <v>664</v>
      </c>
      <c r="G48" s="403"/>
      <c r="H48" s="408"/>
    </row>
    <row r="49" spans="1:12" s="409" customFormat="1" ht="31">
      <c r="A49" s="336" t="s">
        <v>438</v>
      </c>
      <c r="B49" s="405" t="s">
        <v>885</v>
      </c>
      <c r="C49" s="403" t="s">
        <v>39</v>
      </c>
      <c r="D49" s="406">
        <v>45925</v>
      </c>
      <c r="E49" s="406">
        <v>45925</v>
      </c>
      <c r="F49" s="402" t="s">
        <v>664</v>
      </c>
      <c r="G49" s="403"/>
      <c r="H49" s="408"/>
    </row>
    <row r="50" spans="1:12" s="409" customFormat="1" ht="31">
      <c r="A50" s="336" t="s">
        <v>444</v>
      </c>
      <c r="B50" s="405" t="s">
        <v>917</v>
      </c>
      <c r="C50" s="403" t="s">
        <v>39</v>
      </c>
      <c r="D50" s="406" t="s">
        <v>915</v>
      </c>
      <c r="E50" s="406" t="s">
        <v>915</v>
      </c>
      <c r="F50" s="402" t="s">
        <v>664</v>
      </c>
      <c r="G50" s="403"/>
      <c r="H50" s="408"/>
    </row>
    <row r="51" spans="1:12" ht="15.5">
      <c r="A51" s="41">
        <v>7</v>
      </c>
      <c r="B51" s="222" t="s">
        <v>547</v>
      </c>
      <c r="C51" s="49"/>
      <c r="D51" s="183"/>
      <c r="E51" s="183"/>
      <c r="F51" s="217"/>
      <c r="G51" s="56"/>
      <c r="H51" s="50"/>
      <c r="L51" s="413"/>
    </row>
    <row r="52" spans="1:12" ht="31">
      <c r="A52" s="48" t="s">
        <v>440</v>
      </c>
      <c r="B52" s="405" t="s">
        <v>903</v>
      </c>
      <c r="C52" s="403" t="s">
        <v>12</v>
      </c>
      <c r="D52" s="406" t="s">
        <v>888</v>
      </c>
      <c r="E52" s="406" t="s">
        <v>889</v>
      </c>
      <c r="F52" s="402" t="s">
        <v>887</v>
      </c>
      <c r="G52" s="403"/>
      <c r="H52" s="104"/>
    </row>
    <row r="53" spans="1:12" s="414" customFormat="1" ht="15.5">
      <c r="A53" s="44" t="s">
        <v>441</v>
      </c>
      <c r="B53" s="405" t="s">
        <v>890</v>
      </c>
      <c r="C53" s="403" t="s">
        <v>12</v>
      </c>
      <c r="D53" s="406" t="s">
        <v>891</v>
      </c>
      <c r="E53" s="406" t="s">
        <v>891</v>
      </c>
      <c r="F53" s="402" t="s">
        <v>664</v>
      </c>
      <c r="G53" s="403"/>
      <c r="H53" s="259" t="s">
        <v>84</v>
      </c>
    </row>
    <row r="54" spans="1:12" ht="31">
      <c r="A54" s="41">
        <v>8</v>
      </c>
      <c r="B54" s="355" t="s">
        <v>528</v>
      </c>
      <c r="C54" s="44" t="s">
        <v>12</v>
      </c>
      <c r="D54" s="87" t="s">
        <v>68</v>
      </c>
      <c r="E54" s="87" t="s">
        <v>68</v>
      </c>
      <c r="F54" s="217" t="s">
        <v>865</v>
      </c>
      <c r="G54" s="153" t="s">
        <v>847</v>
      </c>
      <c r="H54" s="259" t="s">
        <v>84</v>
      </c>
    </row>
    <row r="55" spans="1:12" ht="15.5">
      <c r="A55" s="104" t="s">
        <v>13</v>
      </c>
      <c r="B55" s="352" t="s">
        <v>14</v>
      </c>
      <c r="C55" s="50"/>
      <c r="D55" s="104"/>
      <c r="E55" s="104"/>
      <c r="F55" s="217"/>
      <c r="G55" s="56"/>
      <c r="H55" s="44"/>
    </row>
    <row r="56" spans="1:12" ht="15.5">
      <c r="A56" s="104">
        <v>1</v>
      </c>
      <c r="B56" s="222" t="s">
        <v>550</v>
      </c>
      <c r="C56" s="49"/>
      <c r="D56" s="49"/>
      <c r="E56" s="49"/>
      <c r="F56" s="424"/>
      <c r="G56" s="425"/>
      <c r="H56" s="51"/>
    </row>
    <row r="57" spans="1:12" ht="62">
      <c r="A57" s="48" t="s">
        <v>552</v>
      </c>
      <c r="B57" s="217" t="s">
        <v>661</v>
      </c>
      <c r="C57" s="43" t="s">
        <v>39</v>
      </c>
      <c r="D57" s="183">
        <v>45799</v>
      </c>
      <c r="E57" s="183">
        <v>45809</v>
      </c>
      <c r="F57" s="217" t="s">
        <v>800</v>
      </c>
      <c r="G57" s="56"/>
      <c r="H57" s="44" t="s">
        <v>84</v>
      </c>
    </row>
    <row r="58" spans="1:12" s="62" customFormat="1" ht="93">
      <c r="A58" s="48" t="s">
        <v>553</v>
      </c>
      <c r="B58" s="73" t="s">
        <v>389</v>
      </c>
      <c r="C58" s="49" t="s">
        <v>12</v>
      </c>
      <c r="D58" s="183">
        <v>45797</v>
      </c>
      <c r="E58" s="183">
        <v>45838</v>
      </c>
      <c r="F58" s="217" t="s">
        <v>870</v>
      </c>
      <c r="G58" s="188"/>
      <c r="H58" s="44" t="s">
        <v>664</v>
      </c>
    </row>
    <row r="59" spans="1:12" ht="93">
      <c r="A59" s="41">
        <v>2</v>
      </c>
      <c r="B59" s="73" t="s">
        <v>287</v>
      </c>
      <c r="C59" s="49" t="s">
        <v>12</v>
      </c>
      <c r="D59" s="183">
        <v>45802</v>
      </c>
      <c r="E59" s="183">
        <v>45828</v>
      </c>
      <c r="F59" s="217" t="s">
        <v>671</v>
      </c>
      <c r="G59" s="188"/>
      <c r="H59" s="44" t="s">
        <v>666</v>
      </c>
      <c r="L59" s="415"/>
    </row>
    <row r="60" spans="1:12" ht="93">
      <c r="A60" s="41">
        <v>3</v>
      </c>
      <c r="B60" s="73" t="s">
        <v>266</v>
      </c>
      <c r="C60" s="49" t="s">
        <v>12</v>
      </c>
      <c r="D60" s="183">
        <v>45799</v>
      </c>
      <c r="E60" s="183">
        <v>45828</v>
      </c>
      <c r="F60" s="217" t="s">
        <v>871</v>
      </c>
      <c r="G60" s="188"/>
      <c r="H60" s="44" t="s">
        <v>666</v>
      </c>
    </row>
    <row r="61" spans="1:12" ht="15.5">
      <c r="A61" s="41">
        <v>4</v>
      </c>
      <c r="B61" s="310" t="s">
        <v>794</v>
      </c>
      <c r="C61" s="49"/>
      <c r="D61" s="183"/>
      <c r="E61" s="183"/>
      <c r="F61" s="217"/>
      <c r="G61" s="56"/>
      <c r="H61" s="50"/>
    </row>
    <row r="62" spans="1:12" ht="62">
      <c r="A62" s="44" t="s">
        <v>346</v>
      </c>
      <c r="B62" s="217" t="s">
        <v>566</v>
      </c>
      <c r="C62" s="44" t="s">
        <v>12</v>
      </c>
      <c r="D62" s="183"/>
      <c r="E62" s="183"/>
      <c r="F62" s="217" t="s">
        <v>679</v>
      </c>
      <c r="G62" s="217" t="s">
        <v>565</v>
      </c>
      <c r="H62" s="216" t="s">
        <v>556</v>
      </c>
    </row>
    <row r="63" spans="1:12" ht="46.5">
      <c r="A63" s="48" t="s">
        <v>347</v>
      </c>
      <c r="B63" s="217" t="s">
        <v>705</v>
      </c>
      <c r="C63" s="43" t="s">
        <v>39</v>
      </c>
      <c r="D63" s="183">
        <v>45950</v>
      </c>
      <c r="E63" s="183" t="s">
        <v>898</v>
      </c>
      <c r="F63" s="381" t="s">
        <v>800</v>
      </c>
      <c r="G63" s="56" t="s">
        <v>797</v>
      </c>
      <c r="H63" s="198" t="s">
        <v>84</v>
      </c>
    </row>
    <row r="64" spans="1:12" ht="15.5">
      <c r="A64" s="104">
        <v>5</v>
      </c>
      <c r="B64" s="222" t="s">
        <v>899</v>
      </c>
      <c r="C64" s="49" t="s">
        <v>12</v>
      </c>
      <c r="D64" s="183"/>
      <c r="E64" s="183"/>
      <c r="F64" s="217" t="s">
        <v>549</v>
      </c>
      <c r="G64" s="188"/>
      <c r="H64" s="223" t="s">
        <v>678</v>
      </c>
    </row>
    <row r="65" spans="1:12" ht="31">
      <c r="A65" s="48">
        <v>5.0999999999999996</v>
      </c>
      <c r="B65" s="217" t="s">
        <v>900</v>
      </c>
      <c r="C65" s="49" t="s">
        <v>12</v>
      </c>
      <c r="D65" s="183">
        <v>45940</v>
      </c>
      <c r="E65" s="183"/>
      <c r="F65" s="217" t="s">
        <v>549</v>
      </c>
      <c r="G65" s="56"/>
      <c r="H65" s="198"/>
    </row>
    <row r="66" spans="1:12" ht="15.5">
      <c r="A66" s="206" t="s">
        <v>174</v>
      </c>
      <c r="B66" s="352" t="s">
        <v>173</v>
      </c>
      <c r="C66" s="49"/>
      <c r="D66" s="74"/>
      <c r="E66" s="74"/>
      <c r="F66" s="73"/>
      <c r="G66" s="50"/>
      <c r="H66" s="218"/>
    </row>
    <row r="67" spans="1:12" ht="15.5">
      <c r="A67" s="104">
        <v>1</v>
      </c>
      <c r="B67" s="352" t="s">
        <v>182</v>
      </c>
      <c r="C67" s="459"/>
      <c r="D67" s="460"/>
      <c r="E67" s="460"/>
      <c r="F67" s="460"/>
      <c r="G67" s="460"/>
      <c r="H67" s="460"/>
    </row>
    <row r="68" spans="1:12" ht="15.5">
      <c r="A68" s="104">
        <v>2</v>
      </c>
      <c r="B68" s="352" t="s">
        <v>183</v>
      </c>
      <c r="C68" s="457"/>
      <c r="D68" s="462"/>
      <c r="E68" s="462"/>
      <c r="F68" s="462"/>
      <c r="G68" s="462"/>
      <c r="H68" s="462"/>
    </row>
    <row r="69" spans="1:12" ht="15.5">
      <c r="A69" s="416" t="s">
        <v>920</v>
      </c>
      <c r="B69" s="399"/>
      <c r="C69" s="417"/>
      <c r="D69" s="418"/>
      <c r="E69" s="418"/>
      <c r="F69" s="399"/>
      <c r="G69" s="417"/>
      <c r="H69" s="197"/>
    </row>
    <row r="70" spans="1:12">
      <c r="A70" s="437" t="s">
        <v>2</v>
      </c>
      <c r="B70" s="439" t="s">
        <v>3</v>
      </c>
      <c r="C70" s="441" t="s">
        <v>4</v>
      </c>
      <c r="D70" s="443" t="s">
        <v>5</v>
      </c>
      <c r="E70" s="443"/>
      <c r="F70" s="437" t="s">
        <v>111</v>
      </c>
      <c r="G70" s="437"/>
      <c r="H70" s="444" t="s">
        <v>66</v>
      </c>
    </row>
    <row r="71" spans="1:12">
      <c r="A71" s="438"/>
      <c r="B71" s="440"/>
      <c r="C71" s="442"/>
      <c r="D71" s="123" t="s">
        <v>8</v>
      </c>
      <c r="E71" s="123" t="s">
        <v>9</v>
      </c>
      <c r="F71" s="438"/>
      <c r="G71" s="438"/>
      <c r="H71" s="445"/>
    </row>
    <row r="72" spans="1:12" ht="15.5">
      <c r="A72" s="104" t="s">
        <v>10</v>
      </c>
      <c r="B72" s="352" t="s">
        <v>11</v>
      </c>
      <c r="C72" s="44"/>
      <c r="D72" s="87"/>
      <c r="E72" s="87"/>
      <c r="F72" s="423"/>
      <c r="G72" s="423"/>
      <c r="H72" s="44"/>
    </row>
    <row r="73" spans="1:12" ht="15.5">
      <c r="A73" s="48">
        <v>1</v>
      </c>
      <c r="B73" s="214" t="s">
        <v>528</v>
      </c>
      <c r="C73" s="44" t="s">
        <v>12</v>
      </c>
      <c r="D73" s="87" t="s">
        <v>68</v>
      </c>
      <c r="E73" s="87" t="s">
        <v>68</v>
      </c>
      <c r="F73" s="424" t="s">
        <v>580</v>
      </c>
      <c r="G73" s="456"/>
      <c r="H73" s="44"/>
    </row>
    <row r="74" spans="1:12" ht="103.5" customHeight="1">
      <c r="A74" s="41">
        <v>2</v>
      </c>
      <c r="B74" s="73" t="s">
        <v>287</v>
      </c>
      <c r="C74" s="49" t="s">
        <v>12</v>
      </c>
      <c r="D74" s="183">
        <v>45921</v>
      </c>
      <c r="E74" s="183">
        <v>45950</v>
      </c>
      <c r="F74" s="424" t="s">
        <v>921</v>
      </c>
      <c r="G74" s="456"/>
      <c r="H74" s="44"/>
      <c r="L74" s="415"/>
    </row>
    <row r="75" spans="1:12" ht="99" customHeight="1">
      <c r="A75" s="41">
        <v>3</v>
      </c>
      <c r="B75" s="73" t="s">
        <v>266</v>
      </c>
      <c r="C75" s="49" t="s">
        <v>12</v>
      </c>
      <c r="D75" s="183">
        <v>45890</v>
      </c>
      <c r="E75" s="183">
        <v>45950</v>
      </c>
      <c r="F75" s="424" t="s">
        <v>922</v>
      </c>
      <c r="G75" s="456"/>
      <c r="H75" s="44"/>
    </row>
    <row r="76" spans="1:12" ht="15.5">
      <c r="A76" s="104" t="s">
        <v>13</v>
      </c>
      <c r="B76" s="355" t="s">
        <v>14</v>
      </c>
      <c r="C76" s="50"/>
      <c r="D76" s="323"/>
      <c r="E76" s="323"/>
      <c r="F76" s="423"/>
      <c r="G76" s="423"/>
      <c r="H76" s="44"/>
    </row>
    <row r="77" spans="1:12" ht="15.5">
      <c r="A77" s="44">
        <v>1</v>
      </c>
      <c r="B77" s="222" t="s">
        <v>550</v>
      </c>
      <c r="C77" s="49"/>
      <c r="D77" s="49"/>
      <c r="E77" s="49"/>
      <c r="F77" s="424"/>
      <c r="G77" s="425"/>
      <c r="H77" s="51"/>
    </row>
    <row r="78" spans="1:12" s="62" customFormat="1" ht="65.25" customHeight="1">
      <c r="A78" s="177" t="s">
        <v>552</v>
      </c>
      <c r="B78" s="319" t="s">
        <v>389</v>
      </c>
      <c r="C78" s="177" t="s">
        <v>12</v>
      </c>
      <c r="D78" s="178">
        <v>45829</v>
      </c>
      <c r="E78" s="178">
        <v>45858</v>
      </c>
      <c r="F78" s="459" t="s">
        <v>872</v>
      </c>
      <c r="G78" s="492"/>
      <c r="H78" s="313"/>
    </row>
    <row r="79" spans="1:12" s="409" customFormat="1" ht="69" customHeight="1">
      <c r="A79" s="177" t="s">
        <v>553</v>
      </c>
      <c r="B79" s="319" t="s">
        <v>672</v>
      </c>
      <c r="C79" s="146" t="s">
        <v>12</v>
      </c>
      <c r="D79" s="178">
        <v>45829</v>
      </c>
      <c r="E79" s="178">
        <v>45838</v>
      </c>
      <c r="F79" s="424" t="s">
        <v>676</v>
      </c>
      <c r="G79" s="456"/>
      <c r="H79" s="313"/>
    </row>
    <row r="80" spans="1:12" s="409" customFormat="1" ht="46.5">
      <c r="A80" s="177" t="s">
        <v>555</v>
      </c>
      <c r="B80" s="319" t="s">
        <v>673</v>
      </c>
      <c r="C80" s="146" t="s">
        <v>12</v>
      </c>
      <c r="D80" s="178">
        <v>45839</v>
      </c>
      <c r="E80" s="178">
        <v>45858</v>
      </c>
      <c r="F80" s="424" t="s">
        <v>677</v>
      </c>
      <c r="G80" s="456"/>
      <c r="H80" s="320"/>
    </row>
    <row r="81" spans="1:10" ht="46.5">
      <c r="A81" s="44" t="s">
        <v>562</v>
      </c>
      <c r="B81" s="73" t="s">
        <v>680</v>
      </c>
      <c r="C81" s="49" t="s">
        <v>12</v>
      </c>
      <c r="D81" s="93">
        <v>45831</v>
      </c>
      <c r="E81" s="93">
        <v>45858</v>
      </c>
      <c r="F81" s="424" t="s">
        <v>681</v>
      </c>
      <c r="G81" s="456"/>
      <c r="H81" s="51"/>
    </row>
    <row r="82" spans="1:10" ht="31">
      <c r="A82" s="44" t="s">
        <v>632</v>
      </c>
      <c r="B82" s="73" t="s">
        <v>867</v>
      </c>
      <c r="C82" s="49" t="s">
        <v>12</v>
      </c>
      <c r="D82" s="93">
        <v>45890</v>
      </c>
      <c r="E82" s="93">
        <v>45920</v>
      </c>
      <c r="F82" s="424" t="s">
        <v>868</v>
      </c>
      <c r="G82" s="425"/>
      <c r="H82" s="51"/>
    </row>
    <row r="83" spans="1:10" ht="15.5">
      <c r="A83" s="44" t="s">
        <v>721</v>
      </c>
      <c r="B83" s="73" t="s">
        <v>869</v>
      </c>
      <c r="C83" s="49" t="s">
        <v>12</v>
      </c>
      <c r="D83" s="93">
        <v>45890</v>
      </c>
      <c r="E83" s="93">
        <v>45920</v>
      </c>
      <c r="F83" s="424" t="s">
        <v>868</v>
      </c>
      <c r="G83" s="425"/>
      <c r="H83" s="51"/>
    </row>
    <row r="84" spans="1:10" ht="15.5">
      <c r="A84" s="104">
        <v>2</v>
      </c>
      <c r="B84" s="310" t="s">
        <v>564</v>
      </c>
      <c r="C84" s="49"/>
      <c r="D84" s="93"/>
      <c r="E84" s="93"/>
      <c r="F84" s="217"/>
      <c r="G84" s="56"/>
      <c r="H84" s="50"/>
    </row>
    <row r="85" spans="1:10" ht="137.25" customHeight="1">
      <c r="A85" s="44" t="s">
        <v>567</v>
      </c>
      <c r="B85" s="217" t="s">
        <v>575</v>
      </c>
      <c r="C85" s="44" t="s">
        <v>12</v>
      </c>
      <c r="D85" s="93">
        <v>45890</v>
      </c>
      <c r="E85" s="93">
        <v>45920</v>
      </c>
      <c r="F85" s="424" t="s">
        <v>873</v>
      </c>
      <c r="G85" s="425"/>
      <c r="H85" s="216"/>
    </row>
    <row r="86" spans="1:10" ht="15.5">
      <c r="A86" s="104">
        <v>3</v>
      </c>
      <c r="B86" s="222" t="s">
        <v>899</v>
      </c>
      <c r="C86" s="49" t="s">
        <v>12</v>
      </c>
      <c r="D86" s="93"/>
      <c r="E86" s="93"/>
      <c r="F86" s="422" t="s">
        <v>549</v>
      </c>
      <c r="G86" s="423"/>
      <c r="H86" s="318"/>
    </row>
    <row r="87" spans="1:10" ht="15.5">
      <c r="A87" s="419"/>
      <c r="B87" s="400"/>
      <c r="C87" s="229"/>
      <c r="D87" s="330"/>
      <c r="E87" s="330"/>
      <c r="F87" s="388"/>
      <c r="G87" s="230"/>
      <c r="H87" s="231"/>
    </row>
    <row r="88" spans="1:10" ht="16.5">
      <c r="B88" s="376"/>
      <c r="C88" s="272"/>
      <c r="D88" s="333"/>
      <c r="E88" s="333"/>
      <c r="F88" s="376"/>
      <c r="G88" s="272"/>
      <c r="H88" s="237"/>
      <c r="I88" s="272"/>
      <c r="J88" s="272"/>
    </row>
    <row r="89" spans="1:10" ht="16.5">
      <c r="B89" s="376"/>
      <c r="C89" s="272"/>
      <c r="D89" s="333"/>
      <c r="E89" s="333"/>
      <c r="F89" s="376"/>
      <c r="G89" s="272"/>
      <c r="H89" s="237"/>
      <c r="I89" s="272"/>
      <c r="J89" s="272"/>
    </row>
    <row r="90" spans="1:10" ht="16.5">
      <c r="B90" s="376"/>
      <c r="C90" s="272"/>
      <c r="D90" s="333"/>
      <c r="E90" s="333"/>
      <c r="F90" s="376"/>
      <c r="G90" s="272"/>
      <c r="H90" s="237"/>
      <c r="I90" s="272"/>
      <c r="J90" s="272"/>
    </row>
    <row r="91" spans="1:10" ht="16.5">
      <c r="B91" s="376"/>
      <c r="C91" s="272"/>
      <c r="D91" s="333"/>
      <c r="E91" s="333"/>
      <c r="F91" s="376"/>
      <c r="G91" s="272"/>
      <c r="H91" s="237"/>
      <c r="I91" s="272"/>
      <c r="J91" s="272"/>
    </row>
    <row r="92" spans="1:10" ht="16.5">
      <c r="B92" s="376"/>
      <c r="C92" s="272"/>
      <c r="D92" s="333"/>
      <c r="E92" s="333"/>
      <c r="F92" s="376"/>
      <c r="G92" s="272"/>
      <c r="H92" s="237"/>
      <c r="I92" s="272"/>
      <c r="J92" s="272"/>
    </row>
  </sheetData>
  <mergeCells count="42">
    <mergeCell ref="F83:G83"/>
    <mergeCell ref="A1:B1"/>
    <mergeCell ref="C1:H1"/>
    <mergeCell ref="A2:B2"/>
    <mergeCell ref="C2:H2"/>
    <mergeCell ref="C4:G4"/>
    <mergeCell ref="C67:H67"/>
    <mergeCell ref="C68:H68"/>
    <mergeCell ref="F74:G74"/>
    <mergeCell ref="F75:G75"/>
    <mergeCell ref="H70:H71"/>
    <mergeCell ref="F56:G56"/>
    <mergeCell ref="A5:H5"/>
    <mergeCell ref="A6:H6"/>
    <mergeCell ref="A7:A8"/>
    <mergeCell ref="B7:B8"/>
    <mergeCell ref="C7:C8"/>
    <mergeCell ref="D7:E7"/>
    <mergeCell ref="F7:F8"/>
    <mergeCell ref="G7:G8"/>
    <mergeCell ref="H7:H8"/>
    <mergeCell ref="D10:E10"/>
    <mergeCell ref="D13:E13"/>
    <mergeCell ref="D15:E15"/>
    <mergeCell ref="D17:E17"/>
    <mergeCell ref="D21:E21"/>
    <mergeCell ref="F86:G86"/>
    <mergeCell ref="F79:G79"/>
    <mergeCell ref="F80:G80"/>
    <mergeCell ref="A70:A71"/>
    <mergeCell ref="B70:B71"/>
    <mergeCell ref="C70:C71"/>
    <mergeCell ref="D70:E70"/>
    <mergeCell ref="F70:G71"/>
    <mergeCell ref="F72:G72"/>
    <mergeCell ref="F73:G73"/>
    <mergeCell ref="F76:G76"/>
    <mergeCell ref="F77:G77"/>
    <mergeCell ref="F81:G81"/>
    <mergeCell ref="F78:G78"/>
    <mergeCell ref="F85:G85"/>
    <mergeCell ref="F82:G82"/>
  </mergeCells>
  <phoneticPr fontId="41" type="noConversion"/>
  <pageMargins left="0.39370078740157483" right="0.39370078740157483" top="0.39370078740157483" bottom="0.39370078740157483" header="0.31496062992125984" footer="0.31496062992125984"/>
  <pageSetup paperSize="9" scale="71" fitToHeight="0" orientation="landscape" r:id="rId1"/>
  <rowBreaks count="1" manualBreakCount="1">
    <brk id="4" max="16383"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99"/>
  <sheetViews>
    <sheetView topLeftCell="A16" zoomScaleNormal="100" zoomScaleSheetLayoutView="85" workbookViewId="0">
      <selection activeCell="D107" sqref="D107:E107"/>
    </sheetView>
  </sheetViews>
  <sheetFormatPr defaultColWidth="9" defaultRowHeight="14"/>
  <cols>
    <col min="1" max="1" width="5.83203125" customWidth="1"/>
    <col min="2" max="2" width="44.58203125" customWidth="1"/>
    <col min="3" max="3" width="11.25" customWidth="1"/>
    <col min="4" max="5" width="10.4140625" style="90" bestFit="1" customWidth="1"/>
    <col min="6" max="6" width="56.25" customWidth="1"/>
    <col min="7" max="7" width="40.4140625" customWidth="1"/>
    <col min="8" max="8" width="16" customWidth="1"/>
    <col min="257" max="257" width="5.83203125" customWidth="1"/>
    <col min="258" max="258" width="62.4140625" customWidth="1"/>
    <col min="259" max="259" width="14.83203125" customWidth="1"/>
    <col min="260" max="260" width="17.25" customWidth="1"/>
    <col min="261" max="261" width="20.75" customWidth="1"/>
    <col min="262" max="262" width="33.83203125" customWidth="1"/>
    <col min="263" max="263" width="37.25" customWidth="1"/>
    <col min="264" max="264" width="18.58203125" customWidth="1"/>
    <col min="513" max="513" width="5.83203125" customWidth="1"/>
    <col min="514" max="514" width="62.4140625" customWidth="1"/>
    <col min="515" max="515" width="14.83203125" customWidth="1"/>
    <col min="516" max="516" width="17.25" customWidth="1"/>
    <col min="517" max="517" width="20.75" customWidth="1"/>
    <col min="518" max="518" width="33.83203125" customWidth="1"/>
    <col min="519" max="519" width="37.25" customWidth="1"/>
    <col min="520" max="520" width="18.58203125" customWidth="1"/>
    <col min="769" max="769" width="5.83203125" customWidth="1"/>
    <col min="770" max="770" width="62.4140625" customWidth="1"/>
    <col min="771" max="771" width="14.83203125" customWidth="1"/>
    <col min="772" max="772" width="17.25" customWidth="1"/>
    <col min="773" max="773" width="20.75" customWidth="1"/>
    <col min="774" max="774" width="33.83203125" customWidth="1"/>
    <col min="775" max="775" width="37.25" customWidth="1"/>
    <col min="776" max="776" width="18.58203125" customWidth="1"/>
    <col min="1025" max="1025" width="5.83203125" customWidth="1"/>
    <col min="1026" max="1026" width="62.4140625" customWidth="1"/>
    <col min="1027" max="1027" width="14.83203125" customWidth="1"/>
    <col min="1028" max="1028" width="17.25" customWidth="1"/>
    <col min="1029" max="1029" width="20.75" customWidth="1"/>
    <col min="1030" max="1030" width="33.83203125" customWidth="1"/>
    <col min="1031" max="1031" width="37.25" customWidth="1"/>
    <col min="1032" max="1032" width="18.58203125" customWidth="1"/>
    <col min="1281" max="1281" width="5.83203125" customWidth="1"/>
    <col min="1282" max="1282" width="62.4140625" customWidth="1"/>
    <col min="1283" max="1283" width="14.83203125" customWidth="1"/>
    <col min="1284" max="1284" width="17.25" customWidth="1"/>
    <col min="1285" max="1285" width="20.75" customWidth="1"/>
    <col min="1286" max="1286" width="33.83203125" customWidth="1"/>
    <col min="1287" max="1287" width="37.25" customWidth="1"/>
    <col min="1288" max="1288" width="18.58203125" customWidth="1"/>
    <col min="1537" max="1537" width="5.83203125" customWidth="1"/>
    <col min="1538" max="1538" width="62.4140625" customWidth="1"/>
    <col min="1539" max="1539" width="14.83203125" customWidth="1"/>
    <col min="1540" max="1540" width="17.25" customWidth="1"/>
    <col min="1541" max="1541" width="20.75" customWidth="1"/>
    <col min="1542" max="1542" width="33.83203125" customWidth="1"/>
    <col min="1543" max="1543" width="37.25" customWidth="1"/>
    <col min="1544" max="1544" width="18.58203125" customWidth="1"/>
    <col min="1793" max="1793" width="5.83203125" customWidth="1"/>
    <col min="1794" max="1794" width="62.4140625" customWidth="1"/>
    <col min="1795" max="1795" width="14.83203125" customWidth="1"/>
    <col min="1796" max="1796" width="17.25" customWidth="1"/>
    <col min="1797" max="1797" width="20.75" customWidth="1"/>
    <col min="1798" max="1798" width="33.83203125" customWidth="1"/>
    <col min="1799" max="1799" width="37.25" customWidth="1"/>
    <col min="1800" max="1800" width="18.58203125" customWidth="1"/>
    <col min="2049" max="2049" width="5.83203125" customWidth="1"/>
    <col min="2050" max="2050" width="62.4140625" customWidth="1"/>
    <col min="2051" max="2051" width="14.83203125" customWidth="1"/>
    <col min="2052" max="2052" width="17.25" customWidth="1"/>
    <col min="2053" max="2053" width="20.75" customWidth="1"/>
    <col min="2054" max="2054" width="33.83203125" customWidth="1"/>
    <col min="2055" max="2055" width="37.25" customWidth="1"/>
    <col min="2056" max="2056" width="18.58203125" customWidth="1"/>
    <col min="2305" max="2305" width="5.83203125" customWidth="1"/>
    <col min="2306" max="2306" width="62.4140625" customWidth="1"/>
    <col min="2307" max="2307" width="14.83203125" customWidth="1"/>
    <col min="2308" max="2308" width="17.25" customWidth="1"/>
    <col min="2309" max="2309" width="20.75" customWidth="1"/>
    <col min="2310" max="2310" width="33.83203125" customWidth="1"/>
    <col min="2311" max="2311" width="37.25" customWidth="1"/>
    <col min="2312" max="2312" width="18.58203125" customWidth="1"/>
    <col min="2561" max="2561" width="5.83203125" customWidth="1"/>
    <col min="2562" max="2562" width="62.4140625" customWidth="1"/>
    <col min="2563" max="2563" width="14.83203125" customWidth="1"/>
    <col min="2564" max="2564" width="17.25" customWidth="1"/>
    <col min="2565" max="2565" width="20.75" customWidth="1"/>
    <col min="2566" max="2566" width="33.83203125" customWidth="1"/>
    <col min="2567" max="2567" width="37.25" customWidth="1"/>
    <col min="2568" max="2568" width="18.58203125" customWidth="1"/>
    <col min="2817" max="2817" width="5.83203125" customWidth="1"/>
    <col min="2818" max="2818" width="62.4140625" customWidth="1"/>
    <col min="2819" max="2819" width="14.83203125" customWidth="1"/>
    <col min="2820" max="2820" width="17.25" customWidth="1"/>
    <col min="2821" max="2821" width="20.75" customWidth="1"/>
    <col min="2822" max="2822" width="33.83203125" customWidth="1"/>
    <col min="2823" max="2823" width="37.25" customWidth="1"/>
    <col min="2824" max="2824" width="18.58203125" customWidth="1"/>
    <col min="3073" max="3073" width="5.83203125" customWidth="1"/>
    <col min="3074" max="3074" width="62.4140625" customWidth="1"/>
    <col min="3075" max="3075" width="14.83203125" customWidth="1"/>
    <col min="3076" max="3076" width="17.25" customWidth="1"/>
    <col min="3077" max="3077" width="20.75" customWidth="1"/>
    <col min="3078" max="3078" width="33.83203125" customWidth="1"/>
    <col min="3079" max="3079" width="37.25" customWidth="1"/>
    <col min="3080" max="3080" width="18.58203125" customWidth="1"/>
    <col min="3329" max="3329" width="5.83203125" customWidth="1"/>
    <col min="3330" max="3330" width="62.4140625" customWidth="1"/>
    <col min="3331" max="3331" width="14.83203125" customWidth="1"/>
    <col min="3332" max="3332" width="17.25" customWidth="1"/>
    <col min="3333" max="3333" width="20.75" customWidth="1"/>
    <col min="3334" max="3334" width="33.83203125" customWidth="1"/>
    <col min="3335" max="3335" width="37.25" customWidth="1"/>
    <col min="3336" max="3336" width="18.58203125" customWidth="1"/>
    <col min="3585" max="3585" width="5.83203125" customWidth="1"/>
    <col min="3586" max="3586" width="62.4140625" customWidth="1"/>
    <col min="3587" max="3587" width="14.83203125" customWidth="1"/>
    <col min="3588" max="3588" width="17.25" customWidth="1"/>
    <col min="3589" max="3589" width="20.75" customWidth="1"/>
    <col min="3590" max="3590" width="33.83203125" customWidth="1"/>
    <col min="3591" max="3591" width="37.25" customWidth="1"/>
    <col min="3592" max="3592" width="18.58203125" customWidth="1"/>
    <col min="3841" max="3841" width="5.83203125" customWidth="1"/>
    <col min="3842" max="3842" width="62.4140625" customWidth="1"/>
    <col min="3843" max="3843" width="14.83203125" customWidth="1"/>
    <col min="3844" max="3844" width="17.25" customWidth="1"/>
    <col min="3845" max="3845" width="20.75" customWidth="1"/>
    <col min="3846" max="3846" width="33.83203125" customWidth="1"/>
    <col min="3847" max="3847" width="37.25" customWidth="1"/>
    <col min="3848" max="3848" width="18.58203125" customWidth="1"/>
    <col min="4097" max="4097" width="5.83203125" customWidth="1"/>
    <col min="4098" max="4098" width="62.4140625" customWidth="1"/>
    <col min="4099" max="4099" width="14.83203125" customWidth="1"/>
    <col min="4100" max="4100" width="17.25" customWidth="1"/>
    <col min="4101" max="4101" width="20.75" customWidth="1"/>
    <col min="4102" max="4102" width="33.83203125" customWidth="1"/>
    <col min="4103" max="4103" width="37.25" customWidth="1"/>
    <col min="4104" max="4104" width="18.58203125" customWidth="1"/>
    <col min="4353" max="4353" width="5.83203125" customWidth="1"/>
    <col min="4354" max="4354" width="62.4140625" customWidth="1"/>
    <col min="4355" max="4355" width="14.83203125" customWidth="1"/>
    <col min="4356" max="4356" width="17.25" customWidth="1"/>
    <col min="4357" max="4357" width="20.75" customWidth="1"/>
    <col min="4358" max="4358" width="33.83203125" customWidth="1"/>
    <col min="4359" max="4359" width="37.25" customWidth="1"/>
    <col min="4360" max="4360" width="18.58203125" customWidth="1"/>
    <col min="4609" max="4609" width="5.83203125" customWidth="1"/>
    <col min="4610" max="4610" width="62.4140625" customWidth="1"/>
    <col min="4611" max="4611" width="14.83203125" customWidth="1"/>
    <col min="4612" max="4612" width="17.25" customWidth="1"/>
    <col min="4613" max="4613" width="20.75" customWidth="1"/>
    <col min="4614" max="4614" width="33.83203125" customWidth="1"/>
    <col min="4615" max="4615" width="37.25" customWidth="1"/>
    <col min="4616" max="4616" width="18.58203125" customWidth="1"/>
    <col min="4865" max="4865" width="5.83203125" customWidth="1"/>
    <col min="4866" max="4866" width="62.4140625" customWidth="1"/>
    <col min="4867" max="4867" width="14.83203125" customWidth="1"/>
    <col min="4868" max="4868" width="17.25" customWidth="1"/>
    <col min="4869" max="4869" width="20.75" customWidth="1"/>
    <col min="4870" max="4870" width="33.83203125" customWidth="1"/>
    <col min="4871" max="4871" width="37.25" customWidth="1"/>
    <col min="4872" max="4872" width="18.58203125" customWidth="1"/>
    <col min="5121" max="5121" width="5.83203125" customWidth="1"/>
    <col min="5122" max="5122" width="62.4140625" customWidth="1"/>
    <col min="5123" max="5123" width="14.83203125" customWidth="1"/>
    <col min="5124" max="5124" width="17.25" customWidth="1"/>
    <col min="5125" max="5125" width="20.75" customWidth="1"/>
    <col min="5126" max="5126" width="33.83203125" customWidth="1"/>
    <col min="5127" max="5127" width="37.25" customWidth="1"/>
    <col min="5128" max="5128" width="18.58203125" customWidth="1"/>
    <col min="5377" max="5377" width="5.83203125" customWidth="1"/>
    <col min="5378" max="5378" width="62.4140625" customWidth="1"/>
    <col min="5379" max="5379" width="14.83203125" customWidth="1"/>
    <col min="5380" max="5380" width="17.25" customWidth="1"/>
    <col min="5381" max="5381" width="20.75" customWidth="1"/>
    <col min="5382" max="5382" width="33.83203125" customWidth="1"/>
    <col min="5383" max="5383" width="37.25" customWidth="1"/>
    <col min="5384" max="5384" width="18.58203125" customWidth="1"/>
    <col min="5633" max="5633" width="5.83203125" customWidth="1"/>
    <col min="5634" max="5634" width="62.4140625" customWidth="1"/>
    <col min="5635" max="5635" width="14.83203125" customWidth="1"/>
    <col min="5636" max="5636" width="17.25" customWidth="1"/>
    <col min="5637" max="5637" width="20.75" customWidth="1"/>
    <col min="5638" max="5638" width="33.83203125" customWidth="1"/>
    <col min="5639" max="5639" width="37.25" customWidth="1"/>
    <col min="5640" max="5640" width="18.58203125" customWidth="1"/>
    <col min="5889" max="5889" width="5.83203125" customWidth="1"/>
    <col min="5890" max="5890" width="62.4140625" customWidth="1"/>
    <col min="5891" max="5891" width="14.83203125" customWidth="1"/>
    <col min="5892" max="5892" width="17.25" customWidth="1"/>
    <col min="5893" max="5893" width="20.75" customWidth="1"/>
    <col min="5894" max="5894" width="33.83203125" customWidth="1"/>
    <col min="5895" max="5895" width="37.25" customWidth="1"/>
    <col min="5896" max="5896" width="18.58203125" customWidth="1"/>
    <col min="6145" max="6145" width="5.83203125" customWidth="1"/>
    <col min="6146" max="6146" width="62.4140625" customWidth="1"/>
    <col min="6147" max="6147" width="14.83203125" customWidth="1"/>
    <col min="6148" max="6148" width="17.25" customWidth="1"/>
    <col min="6149" max="6149" width="20.75" customWidth="1"/>
    <col min="6150" max="6150" width="33.83203125" customWidth="1"/>
    <col min="6151" max="6151" width="37.25" customWidth="1"/>
    <col min="6152" max="6152" width="18.58203125" customWidth="1"/>
    <col min="6401" max="6401" width="5.83203125" customWidth="1"/>
    <col min="6402" max="6402" width="62.4140625" customWidth="1"/>
    <col min="6403" max="6403" width="14.83203125" customWidth="1"/>
    <col min="6404" max="6404" width="17.25" customWidth="1"/>
    <col min="6405" max="6405" width="20.75" customWidth="1"/>
    <col min="6406" max="6406" width="33.83203125" customWidth="1"/>
    <col min="6407" max="6407" width="37.25" customWidth="1"/>
    <col min="6408" max="6408" width="18.58203125" customWidth="1"/>
    <col min="6657" max="6657" width="5.83203125" customWidth="1"/>
    <col min="6658" max="6658" width="62.4140625" customWidth="1"/>
    <col min="6659" max="6659" width="14.83203125" customWidth="1"/>
    <col min="6660" max="6660" width="17.25" customWidth="1"/>
    <col min="6661" max="6661" width="20.75" customWidth="1"/>
    <col min="6662" max="6662" width="33.83203125" customWidth="1"/>
    <col min="6663" max="6663" width="37.25" customWidth="1"/>
    <col min="6664" max="6664" width="18.58203125" customWidth="1"/>
    <col min="6913" max="6913" width="5.83203125" customWidth="1"/>
    <col min="6914" max="6914" width="62.4140625" customWidth="1"/>
    <col min="6915" max="6915" width="14.83203125" customWidth="1"/>
    <col min="6916" max="6916" width="17.25" customWidth="1"/>
    <col min="6917" max="6917" width="20.75" customWidth="1"/>
    <col min="6918" max="6918" width="33.83203125" customWidth="1"/>
    <col min="6919" max="6919" width="37.25" customWidth="1"/>
    <col min="6920" max="6920" width="18.58203125" customWidth="1"/>
    <col min="7169" max="7169" width="5.83203125" customWidth="1"/>
    <col min="7170" max="7170" width="62.4140625" customWidth="1"/>
    <col min="7171" max="7171" width="14.83203125" customWidth="1"/>
    <col min="7172" max="7172" width="17.25" customWidth="1"/>
    <col min="7173" max="7173" width="20.75" customWidth="1"/>
    <col min="7174" max="7174" width="33.83203125" customWidth="1"/>
    <col min="7175" max="7175" width="37.25" customWidth="1"/>
    <col min="7176" max="7176" width="18.58203125" customWidth="1"/>
    <col min="7425" max="7425" width="5.83203125" customWidth="1"/>
    <col min="7426" max="7426" width="62.4140625" customWidth="1"/>
    <col min="7427" max="7427" width="14.83203125" customWidth="1"/>
    <col min="7428" max="7428" width="17.25" customWidth="1"/>
    <col min="7429" max="7429" width="20.75" customWidth="1"/>
    <col min="7430" max="7430" width="33.83203125" customWidth="1"/>
    <col min="7431" max="7431" width="37.25" customWidth="1"/>
    <col min="7432" max="7432" width="18.58203125" customWidth="1"/>
    <col min="7681" max="7681" width="5.83203125" customWidth="1"/>
    <col min="7682" max="7682" width="62.4140625" customWidth="1"/>
    <col min="7683" max="7683" width="14.83203125" customWidth="1"/>
    <col min="7684" max="7684" width="17.25" customWidth="1"/>
    <col min="7685" max="7685" width="20.75" customWidth="1"/>
    <col min="7686" max="7686" width="33.83203125" customWidth="1"/>
    <col min="7687" max="7687" width="37.25" customWidth="1"/>
    <col min="7688" max="7688" width="18.58203125" customWidth="1"/>
    <col min="7937" max="7937" width="5.83203125" customWidth="1"/>
    <col min="7938" max="7938" width="62.4140625" customWidth="1"/>
    <col min="7939" max="7939" width="14.83203125" customWidth="1"/>
    <col min="7940" max="7940" width="17.25" customWidth="1"/>
    <col min="7941" max="7941" width="20.75" customWidth="1"/>
    <col min="7942" max="7942" width="33.83203125" customWidth="1"/>
    <col min="7943" max="7943" width="37.25" customWidth="1"/>
    <col min="7944" max="7944" width="18.58203125" customWidth="1"/>
    <col min="8193" max="8193" width="5.83203125" customWidth="1"/>
    <col min="8194" max="8194" width="62.4140625" customWidth="1"/>
    <col min="8195" max="8195" width="14.83203125" customWidth="1"/>
    <col min="8196" max="8196" width="17.25" customWidth="1"/>
    <col min="8197" max="8197" width="20.75" customWidth="1"/>
    <col min="8198" max="8198" width="33.83203125" customWidth="1"/>
    <col min="8199" max="8199" width="37.25" customWidth="1"/>
    <col min="8200" max="8200" width="18.58203125" customWidth="1"/>
    <col min="8449" max="8449" width="5.83203125" customWidth="1"/>
    <col min="8450" max="8450" width="62.4140625" customWidth="1"/>
    <col min="8451" max="8451" width="14.83203125" customWidth="1"/>
    <col min="8452" max="8452" width="17.25" customWidth="1"/>
    <col min="8453" max="8453" width="20.75" customWidth="1"/>
    <col min="8454" max="8454" width="33.83203125" customWidth="1"/>
    <col min="8455" max="8455" width="37.25" customWidth="1"/>
    <col min="8456" max="8456" width="18.58203125" customWidth="1"/>
    <col min="8705" max="8705" width="5.83203125" customWidth="1"/>
    <col min="8706" max="8706" width="62.4140625" customWidth="1"/>
    <col min="8707" max="8707" width="14.83203125" customWidth="1"/>
    <col min="8708" max="8708" width="17.25" customWidth="1"/>
    <col min="8709" max="8709" width="20.75" customWidth="1"/>
    <col min="8710" max="8710" width="33.83203125" customWidth="1"/>
    <col min="8711" max="8711" width="37.25" customWidth="1"/>
    <col min="8712" max="8712" width="18.58203125" customWidth="1"/>
    <col min="8961" max="8961" width="5.83203125" customWidth="1"/>
    <col min="8962" max="8962" width="62.4140625" customWidth="1"/>
    <col min="8963" max="8963" width="14.83203125" customWidth="1"/>
    <col min="8964" max="8964" width="17.25" customWidth="1"/>
    <col min="8965" max="8965" width="20.75" customWidth="1"/>
    <col min="8966" max="8966" width="33.83203125" customWidth="1"/>
    <col min="8967" max="8967" width="37.25" customWidth="1"/>
    <col min="8968" max="8968" width="18.58203125" customWidth="1"/>
    <col min="9217" max="9217" width="5.83203125" customWidth="1"/>
    <col min="9218" max="9218" width="62.4140625" customWidth="1"/>
    <col min="9219" max="9219" width="14.83203125" customWidth="1"/>
    <col min="9220" max="9220" width="17.25" customWidth="1"/>
    <col min="9221" max="9221" width="20.75" customWidth="1"/>
    <col min="9222" max="9222" width="33.83203125" customWidth="1"/>
    <col min="9223" max="9223" width="37.25" customWidth="1"/>
    <col min="9224" max="9224" width="18.58203125" customWidth="1"/>
    <col min="9473" max="9473" width="5.83203125" customWidth="1"/>
    <col min="9474" max="9474" width="62.4140625" customWidth="1"/>
    <col min="9475" max="9475" width="14.83203125" customWidth="1"/>
    <col min="9476" max="9476" width="17.25" customWidth="1"/>
    <col min="9477" max="9477" width="20.75" customWidth="1"/>
    <col min="9478" max="9478" width="33.83203125" customWidth="1"/>
    <col min="9479" max="9479" width="37.25" customWidth="1"/>
    <col min="9480" max="9480" width="18.58203125" customWidth="1"/>
    <col min="9729" max="9729" width="5.83203125" customWidth="1"/>
    <col min="9730" max="9730" width="62.4140625" customWidth="1"/>
    <col min="9731" max="9731" width="14.83203125" customWidth="1"/>
    <col min="9732" max="9732" width="17.25" customWidth="1"/>
    <col min="9733" max="9733" width="20.75" customWidth="1"/>
    <col min="9734" max="9734" width="33.83203125" customWidth="1"/>
    <col min="9735" max="9735" width="37.25" customWidth="1"/>
    <col min="9736" max="9736" width="18.58203125" customWidth="1"/>
    <col min="9985" max="9985" width="5.83203125" customWidth="1"/>
    <col min="9986" max="9986" width="62.4140625" customWidth="1"/>
    <col min="9987" max="9987" width="14.83203125" customWidth="1"/>
    <col min="9988" max="9988" width="17.25" customWidth="1"/>
    <col min="9989" max="9989" width="20.75" customWidth="1"/>
    <col min="9990" max="9990" width="33.83203125" customWidth="1"/>
    <col min="9991" max="9991" width="37.25" customWidth="1"/>
    <col min="9992" max="9992" width="18.58203125" customWidth="1"/>
    <col min="10241" max="10241" width="5.83203125" customWidth="1"/>
    <col min="10242" max="10242" width="62.4140625" customWidth="1"/>
    <col min="10243" max="10243" width="14.83203125" customWidth="1"/>
    <col min="10244" max="10244" width="17.25" customWidth="1"/>
    <col min="10245" max="10245" width="20.75" customWidth="1"/>
    <col min="10246" max="10246" width="33.83203125" customWidth="1"/>
    <col min="10247" max="10247" width="37.25" customWidth="1"/>
    <col min="10248" max="10248" width="18.58203125" customWidth="1"/>
    <col min="10497" max="10497" width="5.83203125" customWidth="1"/>
    <col min="10498" max="10498" width="62.4140625" customWidth="1"/>
    <col min="10499" max="10499" width="14.83203125" customWidth="1"/>
    <col min="10500" max="10500" width="17.25" customWidth="1"/>
    <col min="10501" max="10501" width="20.75" customWidth="1"/>
    <col min="10502" max="10502" width="33.83203125" customWidth="1"/>
    <col min="10503" max="10503" width="37.25" customWidth="1"/>
    <col min="10504" max="10504" width="18.58203125" customWidth="1"/>
    <col min="10753" max="10753" width="5.83203125" customWidth="1"/>
    <col min="10754" max="10754" width="62.4140625" customWidth="1"/>
    <col min="10755" max="10755" width="14.83203125" customWidth="1"/>
    <col min="10756" max="10756" width="17.25" customWidth="1"/>
    <col min="10757" max="10757" width="20.75" customWidth="1"/>
    <col min="10758" max="10758" width="33.83203125" customWidth="1"/>
    <col min="10759" max="10759" width="37.25" customWidth="1"/>
    <col min="10760" max="10760" width="18.58203125" customWidth="1"/>
    <col min="11009" max="11009" width="5.83203125" customWidth="1"/>
    <col min="11010" max="11010" width="62.4140625" customWidth="1"/>
    <col min="11011" max="11011" width="14.83203125" customWidth="1"/>
    <col min="11012" max="11012" width="17.25" customWidth="1"/>
    <col min="11013" max="11013" width="20.75" customWidth="1"/>
    <col min="11014" max="11014" width="33.83203125" customWidth="1"/>
    <col min="11015" max="11015" width="37.25" customWidth="1"/>
    <col min="11016" max="11016" width="18.58203125" customWidth="1"/>
    <col min="11265" max="11265" width="5.83203125" customWidth="1"/>
    <col min="11266" max="11266" width="62.4140625" customWidth="1"/>
    <col min="11267" max="11267" width="14.83203125" customWidth="1"/>
    <col min="11268" max="11268" width="17.25" customWidth="1"/>
    <col min="11269" max="11269" width="20.75" customWidth="1"/>
    <col min="11270" max="11270" width="33.83203125" customWidth="1"/>
    <col min="11271" max="11271" width="37.25" customWidth="1"/>
    <col min="11272" max="11272" width="18.58203125" customWidth="1"/>
    <col min="11521" max="11521" width="5.83203125" customWidth="1"/>
    <col min="11522" max="11522" width="62.4140625" customWidth="1"/>
    <col min="11523" max="11523" width="14.83203125" customWidth="1"/>
    <col min="11524" max="11524" width="17.25" customWidth="1"/>
    <col min="11525" max="11525" width="20.75" customWidth="1"/>
    <col min="11526" max="11526" width="33.83203125" customWidth="1"/>
    <col min="11527" max="11527" width="37.25" customWidth="1"/>
    <col min="11528" max="11528" width="18.58203125" customWidth="1"/>
    <col min="11777" max="11777" width="5.83203125" customWidth="1"/>
    <col min="11778" max="11778" width="62.4140625" customWidth="1"/>
    <col min="11779" max="11779" width="14.83203125" customWidth="1"/>
    <col min="11780" max="11780" width="17.25" customWidth="1"/>
    <col min="11781" max="11781" width="20.75" customWidth="1"/>
    <col min="11782" max="11782" width="33.83203125" customWidth="1"/>
    <col min="11783" max="11783" width="37.25" customWidth="1"/>
    <col min="11784" max="11784" width="18.58203125" customWidth="1"/>
    <col min="12033" max="12033" width="5.83203125" customWidth="1"/>
    <col min="12034" max="12034" width="62.4140625" customWidth="1"/>
    <col min="12035" max="12035" width="14.83203125" customWidth="1"/>
    <col min="12036" max="12036" width="17.25" customWidth="1"/>
    <col min="12037" max="12037" width="20.75" customWidth="1"/>
    <col min="12038" max="12038" width="33.83203125" customWidth="1"/>
    <col min="12039" max="12039" width="37.25" customWidth="1"/>
    <col min="12040" max="12040" width="18.58203125" customWidth="1"/>
    <col min="12289" max="12289" width="5.83203125" customWidth="1"/>
    <col min="12290" max="12290" width="62.4140625" customWidth="1"/>
    <col min="12291" max="12291" width="14.83203125" customWidth="1"/>
    <col min="12292" max="12292" width="17.25" customWidth="1"/>
    <col min="12293" max="12293" width="20.75" customWidth="1"/>
    <col min="12294" max="12294" width="33.83203125" customWidth="1"/>
    <col min="12295" max="12295" width="37.25" customWidth="1"/>
    <col min="12296" max="12296" width="18.58203125" customWidth="1"/>
    <col min="12545" max="12545" width="5.83203125" customWidth="1"/>
    <col min="12546" max="12546" width="62.4140625" customWidth="1"/>
    <col min="12547" max="12547" width="14.83203125" customWidth="1"/>
    <col min="12548" max="12548" width="17.25" customWidth="1"/>
    <col min="12549" max="12549" width="20.75" customWidth="1"/>
    <col min="12550" max="12550" width="33.83203125" customWidth="1"/>
    <col min="12551" max="12551" width="37.25" customWidth="1"/>
    <col min="12552" max="12552" width="18.58203125" customWidth="1"/>
    <col min="12801" max="12801" width="5.83203125" customWidth="1"/>
    <col min="12802" max="12802" width="62.4140625" customWidth="1"/>
    <col min="12803" max="12803" width="14.83203125" customWidth="1"/>
    <col min="12804" max="12804" width="17.25" customWidth="1"/>
    <col min="12805" max="12805" width="20.75" customWidth="1"/>
    <col min="12806" max="12806" width="33.83203125" customWidth="1"/>
    <col min="12807" max="12807" width="37.25" customWidth="1"/>
    <col min="12808" max="12808" width="18.58203125" customWidth="1"/>
    <col min="13057" max="13057" width="5.83203125" customWidth="1"/>
    <col min="13058" max="13058" width="62.4140625" customWidth="1"/>
    <col min="13059" max="13059" width="14.83203125" customWidth="1"/>
    <col min="13060" max="13060" width="17.25" customWidth="1"/>
    <col min="13061" max="13061" width="20.75" customWidth="1"/>
    <col min="13062" max="13062" width="33.83203125" customWidth="1"/>
    <col min="13063" max="13063" width="37.25" customWidth="1"/>
    <col min="13064" max="13064" width="18.58203125" customWidth="1"/>
    <col min="13313" max="13313" width="5.83203125" customWidth="1"/>
    <col min="13314" max="13314" width="62.4140625" customWidth="1"/>
    <col min="13315" max="13315" width="14.83203125" customWidth="1"/>
    <col min="13316" max="13316" width="17.25" customWidth="1"/>
    <col min="13317" max="13317" width="20.75" customWidth="1"/>
    <col min="13318" max="13318" width="33.83203125" customWidth="1"/>
    <col min="13319" max="13319" width="37.25" customWidth="1"/>
    <col min="13320" max="13320" width="18.58203125" customWidth="1"/>
    <col min="13569" max="13569" width="5.83203125" customWidth="1"/>
    <col min="13570" max="13570" width="62.4140625" customWidth="1"/>
    <col min="13571" max="13571" width="14.83203125" customWidth="1"/>
    <col min="13572" max="13572" width="17.25" customWidth="1"/>
    <col min="13573" max="13573" width="20.75" customWidth="1"/>
    <col min="13574" max="13574" width="33.83203125" customWidth="1"/>
    <col min="13575" max="13575" width="37.25" customWidth="1"/>
    <col min="13576" max="13576" width="18.58203125" customWidth="1"/>
    <col min="13825" max="13825" width="5.83203125" customWidth="1"/>
    <col min="13826" max="13826" width="62.4140625" customWidth="1"/>
    <col min="13827" max="13827" width="14.83203125" customWidth="1"/>
    <col min="13828" max="13828" width="17.25" customWidth="1"/>
    <col min="13829" max="13829" width="20.75" customWidth="1"/>
    <col min="13830" max="13830" width="33.83203125" customWidth="1"/>
    <col min="13831" max="13831" width="37.25" customWidth="1"/>
    <col min="13832" max="13832" width="18.58203125" customWidth="1"/>
    <col min="14081" max="14081" width="5.83203125" customWidth="1"/>
    <col min="14082" max="14082" width="62.4140625" customWidth="1"/>
    <col min="14083" max="14083" width="14.83203125" customWidth="1"/>
    <col min="14084" max="14084" width="17.25" customWidth="1"/>
    <col min="14085" max="14085" width="20.75" customWidth="1"/>
    <col min="14086" max="14086" width="33.83203125" customWidth="1"/>
    <col min="14087" max="14087" width="37.25" customWidth="1"/>
    <col min="14088" max="14088" width="18.58203125" customWidth="1"/>
    <col min="14337" max="14337" width="5.83203125" customWidth="1"/>
    <col min="14338" max="14338" width="62.4140625" customWidth="1"/>
    <col min="14339" max="14339" width="14.83203125" customWidth="1"/>
    <col min="14340" max="14340" width="17.25" customWidth="1"/>
    <col min="14341" max="14341" width="20.75" customWidth="1"/>
    <col min="14342" max="14342" width="33.83203125" customWidth="1"/>
    <col min="14343" max="14343" width="37.25" customWidth="1"/>
    <col min="14344" max="14344" width="18.58203125" customWidth="1"/>
    <col min="14593" max="14593" width="5.83203125" customWidth="1"/>
    <col min="14594" max="14594" width="62.4140625" customWidth="1"/>
    <col min="14595" max="14595" width="14.83203125" customWidth="1"/>
    <col min="14596" max="14596" width="17.25" customWidth="1"/>
    <col min="14597" max="14597" width="20.75" customWidth="1"/>
    <col min="14598" max="14598" width="33.83203125" customWidth="1"/>
    <col min="14599" max="14599" width="37.25" customWidth="1"/>
    <col min="14600" max="14600" width="18.58203125" customWidth="1"/>
    <col min="14849" max="14849" width="5.83203125" customWidth="1"/>
    <col min="14850" max="14850" width="62.4140625" customWidth="1"/>
    <col min="14851" max="14851" width="14.83203125" customWidth="1"/>
    <col min="14852" max="14852" width="17.25" customWidth="1"/>
    <col min="14853" max="14853" width="20.75" customWidth="1"/>
    <col min="14854" max="14854" width="33.83203125" customWidth="1"/>
    <col min="14855" max="14855" width="37.25" customWidth="1"/>
    <col min="14856" max="14856" width="18.58203125" customWidth="1"/>
    <col min="15105" max="15105" width="5.83203125" customWidth="1"/>
    <col min="15106" max="15106" width="62.4140625" customWidth="1"/>
    <col min="15107" max="15107" width="14.83203125" customWidth="1"/>
    <col min="15108" max="15108" width="17.25" customWidth="1"/>
    <col min="15109" max="15109" width="20.75" customWidth="1"/>
    <col min="15110" max="15110" width="33.83203125" customWidth="1"/>
    <col min="15111" max="15111" width="37.25" customWidth="1"/>
    <col min="15112" max="15112" width="18.58203125" customWidth="1"/>
    <col min="15361" max="15361" width="5.83203125" customWidth="1"/>
    <col min="15362" max="15362" width="62.4140625" customWidth="1"/>
    <col min="15363" max="15363" width="14.83203125" customWidth="1"/>
    <col min="15364" max="15364" width="17.25" customWidth="1"/>
    <col min="15365" max="15365" width="20.75" customWidth="1"/>
    <col min="15366" max="15366" width="33.83203125" customWidth="1"/>
    <col min="15367" max="15367" width="37.25" customWidth="1"/>
    <col min="15368" max="15368" width="18.58203125" customWidth="1"/>
    <col min="15617" max="15617" width="5.83203125" customWidth="1"/>
    <col min="15618" max="15618" width="62.4140625" customWidth="1"/>
    <col min="15619" max="15619" width="14.83203125" customWidth="1"/>
    <col min="15620" max="15620" width="17.25" customWidth="1"/>
    <col min="15621" max="15621" width="20.75" customWidth="1"/>
    <col min="15622" max="15622" width="33.83203125" customWidth="1"/>
    <col min="15623" max="15623" width="37.25" customWidth="1"/>
    <col min="15624" max="15624" width="18.58203125" customWidth="1"/>
    <col min="15873" max="15873" width="5.83203125" customWidth="1"/>
    <col min="15874" max="15874" width="62.4140625" customWidth="1"/>
    <col min="15875" max="15875" width="14.83203125" customWidth="1"/>
    <col min="15876" max="15876" width="17.25" customWidth="1"/>
    <col min="15877" max="15877" width="20.75" customWidth="1"/>
    <col min="15878" max="15878" width="33.83203125" customWidth="1"/>
    <col min="15879" max="15879" width="37.25" customWidth="1"/>
    <col min="15880" max="15880" width="18.58203125" customWidth="1"/>
    <col min="16129" max="16129" width="5.83203125" customWidth="1"/>
    <col min="16130" max="16130" width="62.4140625" customWidth="1"/>
    <col min="16131" max="16131" width="14.83203125" customWidth="1"/>
    <col min="16132" max="16132" width="17.25" customWidth="1"/>
    <col min="16133" max="16133" width="20.75" customWidth="1"/>
    <col min="16134" max="16134" width="33.83203125" customWidth="1"/>
    <col min="16135" max="16135" width="37.25" customWidth="1"/>
    <col min="16136" max="16136" width="18.58203125" customWidth="1"/>
  </cols>
  <sheetData>
    <row r="1" spans="1:8" ht="25.5" customHeight="1">
      <c r="A1" s="507" t="s">
        <v>0</v>
      </c>
      <c r="B1" s="507"/>
      <c r="C1" s="508" t="s">
        <v>19</v>
      </c>
      <c r="D1" s="508"/>
      <c r="E1" s="508"/>
      <c r="F1" s="508"/>
      <c r="G1" s="508"/>
      <c r="H1" s="508"/>
    </row>
    <row r="2" spans="1:8" ht="23.25" customHeight="1" thickBot="1">
      <c r="A2" s="509" t="s">
        <v>18</v>
      </c>
      <c r="B2" s="509"/>
      <c r="C2" s="509" t="s">
        <v>193</v>
      </c>
      <c r="D2" s="509"/>
      <c r="E2" s="509"/>
      <c r="F2" s="509"/>
      <c r="G2" s="509"/>
      <c r="H2" s="509"/>
    </row>
    <row r="3" spans="1:8" ht="16" thickTop="1">
      <c r="A3" s="2"/>
      <c r="B3" s="2"/>
      <c r="C3" s="2"/>
      <c r="D3" s="75"/>
      <c r="E3" s="75"/>
      <c r="F3" s="2"/>
      <c r="G3" s="2"/>
      <c r="H3" s="2"/>
    </row>
    <row r="4" spans="1:8" ht="15.5">
      <c r="A4" s="2"/>
      <c r="B4" s="3"/>
      <c r="C4" s="510"/>
      <c r="D4" s="510"/>
      <c r="E4" s="510"/>
      <c r="F4" s="510"/>
      <c r="G4" s="510"/>
      <c r="H4" s="2" t="s">
        <v>1</v>
      </c>
    </row>
    <row r="5" spans="1:8" ht="15">
      <c r="A5" s="511" t="s">
        <v>22</v>
      </c>
      <c r="B5" s="511"/>
      <c r="C5" s="511"/>
      <c r="D5" s="511"/>
      <c r="E5" s="511"/>
      <c r="F5" s="511"/>
      <c r="G5" s="511"/>
      <c r="H5" s="511"/>
    </row>
    <row r="6" spans="1:8" s="1" customFormat="1" ht="15.5">
      <c r="A6" s="516" t="s">
        <v>2</v>
      </c>
      <c r="B6" s="525" t="s">
        <v>3</v>
      </c>
      <c r="C6" s="516" t="s">
        <v>4</v>
      </c>
      <c r="D6" s="526" t="s">
        <v>5</v>
      </c>
      <c r="E6" s="526"/>
      <c r="F6" s="525" t="s">
        <v>6</v>
      </c>
      <c r="G6" s="516" t="s">
        <v>7</v>
      </c>
      <c r="H6" s="516" t="s">
        <v>392</v>
      </c>
    </row>
    <row r="7" spans="1:8" s="1" customFormat="1" ht="15.5">
      <c r="A7" s="516"/>
      <c r="B7" s="525"/>
      <c r="C7" s="516"/>
      <c r="D7" s="76" t="s">
        <v>8</v>
      </c>
      <c r="E7" s="76" t="s">
        <v>9</v>
      </c>
      <c r="F7" s="525"/>
      <c r="G7" s="516"/>
      <c r="H7" s="516"/>
    </row>
    <row r="8" spans="1:8" ht="15.5">
      <c r="A8" s="5" t="s">
        <v>10</v>
      </c>
      <c r="B8" s="6" t="s">
        <v>11</v>
      </c>
      <c r="C8" s="4"/>
      <c r="D8" s="77"/>
      <c r="E8" s="77"/>
      <c r="F8" s="4"/>
      <c r="G8" s="4"/>
      <c r="H8" s="4"/>
    </row>
    <row r="9" spans="1:8" s="8" customFormat="1" ht="31">
      <c r="A9" s="10">
        <v>1</v>
      </c>
      <c r="B9" s="30" t="s">
        <v>195</v>
      </c>
      <c r="C9" s="10" t="s">
        <v>12</v>
      </c>
      <c r="D9" s="116">
        <v>45767</v>
      </c>
      <c r="E9" s="116">
        <v>45769</v>
      </c>
      <c r="F9" s="11" t="s">
        <v>21</v>
      </c>
      <c r="G9" s="17"/>
      <c r="H9" s="277" t="s">
        <v>84</v>
      </c>
    </row>
    <row r="10" spans="1:8" s="8" customFormat="1" ht="33.75" customHeight="1">
      <c r="A10" s="10">
        <v>2</v>
      </c>
      <c r="B10" s="30" t="s">
        <v>30</v>
      </c>
      <c r="C10" s="10" t="s">
        <v>12</v>
      </c>
      <c r="D10" s="186">
        <v>45767</v>
      </c>
      <c r="E10" s="186">
        <v>45776</v>
      </c>
      <c r="F10" s="11" t="s">
        <v>352</v>
      </c>
      <c r="G10" s="17" t="s">
        <v>353</v>
      </c>
      <c r="H10" s="259" t="s">
        <v>556</v>
      </c>
    </row>
    <row r="11" spans="1:8" s="8" customFormat="1" ht="31">
      <c r="A11" s="10">
        <v>3</v>
      </c>
      <c r="B11" s="30" t="s">
        <v>31</v>
      </c>
      <c r="C11" s="10" t="s">
        <v>12</v>
      </c>
      <c r="D11" s="116">
        <v>45767</v>
      </c>
      <c r="E11" s="116">
        <v>45773</v>
      </c>
      <c r="F11" s="11" t="s">
        <v>21</v>
      </c>
      <c r="G11" s="17"/>
      <c r="H11" s="277" t="s">
        <v>84</v>
      </c>
    </row>
    <row r="12" spans="1:8" s="8" customFormat="1" ht="31">
      <c r="A12" s="10">
        <v>4</v>
      </c>
      <c r="B12" s="30" t="s">
        <v>197</v>
      </c>
      <c r="C12" s="10" t="s">
        <v>39</v>
      </c>
      <c r="D12" s="116">
        <v>45751</v>
      </c>
      <c r="E12" s="116">
        <v>45757</v>
      </c>
      <c r="F12" s="11" t="s">
        <v>198</v>
      </c>
      <c r="G12" s="17"/>
      <c r="H12" s="277" t="s">
        <v>84</v>
      </c>
    </row>
    <row r="13" spans="1:8" s="8" customFormat="1" ht="31">
      <c r="A13" s="10">
        <v>5</v>
      </c>
      <c r="B13" s="7" t="s">
        <v>61</v>
      </c>
      <c r="C13" s="10" t="s">
        <v>39</v>
      </c>
      <c r="D13" s="24" t="s">
        <v>53</v>
      </c>
      <c r="E13" s="24" t="s">
        <v>53</v>
      </c>
      <c r="F13" s="11" t="s">
        <v>62</v>
      </c>
      <c r="G13" s="17"/>
      <c r="H13" s="277" t="s">
        <v>84</v>
      </c>
    </row>
    <row r="14" spans="1:8" s="8" customFormat="1" ht="32.25" customHeight="1">
      <c r="A14" s="10">
        <v>6</v>
      </c>
      <c r="B14" s="30" t="s">
        <v>25</v>
      </c>
      <c r="C14" s="10" t="s">
        <v>12</v>
      </c>
      <c r="D14" s="24" t="s">
        <v>53</v>
      </c>
      <c r="E14" s="24" t="s">
        <v>53</v>
      </c>
      <c r="F14" s="11" t="s">
        <v>26</v>
      </c>
      <c r="G14" s="17"/>
      <c r="H14" s="277" t="s">
        <v>393</v>
      </c>
    </row>
    <row r="15" spans="1:8" s="8" customFormat="1" ht="21.75" customHeight="1">
      <c r="A15" s="10">
        <v>7</v>
      </c>
      <c r="B15" s="30" t="s">
        <v>36</v>
      </c>
      <c r="C15" s="10" t="s">
        <v>12</v>
      </c>
      <c r="D15" s="24" t="s">
        <v>53</v>
      </c>
      <c r="E15" s="24" t="s">
        <v>53</v>
      </c>
      <c r="F15" s="11" t="s">
        <v>146</v>
      </c>
      <c r="G15" s="17"/>
      <c r="H15" s="277" t="s">
        <v>393</v>
      </c>
    </row>
    <row r="16" spans="1:8" s="8" customFormat="1" ht="31">
      <c r="A16" s="10">
        <v>8</v>
      </c>
      <c r="B16" s="7" t="s">
        <v>63</v>
      </c>
      <c r="C16" s="10" t="s">
        <v>12</v>
      </c>
      <c r="D16" s="24" t="s">
        <v>53</v>
      </c>
      <c r="E16" s="24" t="s">
        <v>53</v>
      </c>
      <c r="F16" s="11" t="s">
        <v>355</v>
      </c>
      <c r="G16" s="17" t="s">
        <v>354</v>
      </c>
      <c r="H16" s="277" t="s">
        <v>84</v>
      </c>
    </row>
    <row r="17" spans="1:8" s="8" customFormat="1" ht="43.5" customHeight="1">
      <c r="A17" s="10">
        <v>9</v>
      </c>
      <c r="B17" s="7" t="s">
        <v>170</v>
      </c>
      <c r="C17" s="10" t="s">
        <v>12</v>
      </c>
      <c r="D17" s="24" t="s">
        <v>53</v>
      </c>
      <c r="E17" s="24" t="s">
        <v>53</v>
      </c>
      <c r="F17" s="11" t="s">
        <v>171</v>
      </c>
      <c r="G17" s="17"/>
      <c r="H17" s="277" t="s">
        <v>393</v>
      </c>
    </row>
    <row r="18" spans="1:8" ht="15.5">
      <c r="A18" s="5" t="s">
        <v>13</v>
      </c>
      <c r="B18" s="6" t="s">
        <v>14</v>
      </c>
      <c r="C18" s="20"/>
      <c r="D18" s="29"/>
      <c r="E18" s="29"/>
      <c r="F18" s="11"/>
      <c r="G18" s="11"/>
      <c r="H18" s="282"/>
    </row>
    <row r="19" spans="1:8" s="8" customFormat="1" ht="62">
      <c r="A19" s="10">
        <v>1</v>
      </c>
      <c r="B19" s="30" t="s">
        <v>196</v>
      </c>
      <c r="C19" s="10" t="s">
        <v>39</v>
      </c>
      <c r="D19" s="93">
        <v>45721</v>
      </c>
      <c r="E19" s="93">
        <v>45763</v>
      </c>
      <c r="F19" s="11" t="s">
        <v>220</v>
      </c>
      <c r="G19" s="11" t="s">
        <v>59</v>
      </c>
      <c r="H19" s="277" t="s">
        <v>84</v>
      </c>
    </row>
    <row r="20" spans="1:8" s="8" customFormat="1" ht="15.5">
      <c r="A20" s="10">
        <v>2</v>
      </c>
      <c r="B20" s="30" t="s">
        <v>33</v>
      </c>
      <c r="C20" s="10" t="s">
        <v>12</v>
      </c>
      <c r="D20" s="93">
        <v>45736</v>
      </c>
      <c r="E20" s="93">
        <v>45752</v>
      </c>
      <c r="F20" s="11" t="s">
        <v>340</v>
      </c>
      <c r="G20" s="11"/>
      <c r="H20" s="277" t="s">
        <v>84</v>
      </c>
    </row>
    <row r="21" spans="1:8" s="8" customFormat="1" ht="130.5" customHeight="1">
      <c r="A21" s="10">
        <v>3</v>
      </c>
      <c r="B21" s="30" t="s">
        <v>34</v>
      </c>
      <c r="C21" s="10" t="s">
        <v>12</v>
      </c>
      <c r="D21" s="93">
        <v>45720</v>
      </c>
      <c r="E21" s="93">
        <v>45760</v>
      </c>
      <c r="F21" s="11" t="s">
        <v>199</v>
      </c>
      <c r="G21" s="17" t="s">
        <v>200</v>
      </c>
      <c r="H21" s="277" t="s">
        <v>84</v>
      </c>
    </row>
    <row r="22" spans="1:8" s="8" customFormat="1" ht="93">
      <c r="A22" s="10">
        <v>4</v>
      </c>
      <c r="B22" s="194" t="s">
        <v>376</v>
      </c>
      <c r="C22" s="10" t="s">
        <v>12</v>
      </c>
      <c r="D22" s="93">
        <v>45740</v>
      </c>
      <c r="E22" s="93">
        <v>45766</v>
      </c>
      <c r="F22" s="17" t="s">
        <v>204</v>
      </c>
      <c r="G22" s="17" t="s">
        <v>205</v>
      </c>
      <c r="H22" s="259" t="s">
        <v>556</v>
      </c>
    </row>
    <row r="23" spans="1:8" s="8" customFormat="1" ht="62">
      <c r="A23" s="10">
        <v>5</v>
      </c>
      <c r="B23" s="32" t="s">
        <v>201</v>
      </c>
      <c r="C23" s="10" t="s">
        <v>12</v>
      </c>
      <c r="D23" s="93">
        <v>45740</v>
      </c>
      <c r="E23" s="93">
        <v>45762</v>
      </c>
      <c r="F23" s="11" t="s">
        <v>218</v>
      </c>
      <c r="G23" s="17" t="s">
        <v>213</v>
      </c>
      <c r="H23" s="277" t="s">
        <v>84</v>
      </c>
    </row>
    <row r="24" spans="1:8" s="52" customFormat="1" ht="109.5" customHeight="1">
      <c r="A24" s="10">
        <v>6</v>
      </c>
      <c r="B24" s="71" t="s">
        <v>148</v>
      </c>
      <c r="C24" s="44" t="s">
        <v>39</v>
      </c>
      <c r="D24" s="93">
        <v>45734</v>
      </c>
      <c r="E24" s="93">
        <v>45769</v>
      </c>
      <c r="F24" s="56" t="s">
        <v>206</v>
      </c>
      <c r="G24" s="56" t="s">
        <v>207</v>
      </c>
      <c r="H24" s="277" t="s">
        <v>84</v>
      </c>
    </row>
    <row r="25" spans="1:8" ht="31.5" customHeight="1">
      <c r="A25" s="10">
        <v>7</v>
      </c>
      <c r="B25" s="53" t="s">
        <v>203</v>
      </c>
      <c r="C25" s="44" t="s">
        <v>39</v>
      </c>
      <c r="D25" s="93">
        <v>45757</v>
      </c>
      <c r="E25" s="93">
        <v>45787</v>
      </c>
      <c r="F25" s="56" t="s">
        <v>211</v>
      </c>
      <c r="G25" s="56" t="s">
        <v>341</v>
      </c>
      <c r="H25" s="277" t="s">
        <v>84</v>
      </c>
    </row>
    <row r="26" spans="1:8" ht="31">
      <c r="A26" s="10">
        <v>8</v>
      </c>
      <c r="B26" s="53" t="s">
        <v>144</v>
      </c>
      <c r="C26" s="44" t="s">
        <v>12</v>
      </c>
      <c r="D26" s="93">
        <v>45736</v>
      </c>
      <c r="E26" s="93">
        <v>45757</v>
      </c>
      <c r="F26" s="56" t="s">
        <v>208</v>
      </c>
      <c r="G26" s="50"/>
      <c r="H26" s="277" t="s">
        <v>84</v>
      </c>
    </row>
    <row r="27" spans="1:8" ht="31">
      <c r="A27" s="10">
        <v>9</v>
      </c>
      <c r="B27" s="53" t="s">
        <v>216</v>
      </c>
      <c r="C27" s="44" t="s">
        <v>39</v>
      </c>
      <c r="D27" s="93">
        <v>45768</v>
      </c>
      <c r="E27" s="93">
        <v>45770</v>
      </c>
      <c r="F27" s="56" t="s">
        <v>217</v>
      </c>
      <c r="G27" s="50"/>
      <c r="H27" s="277" t="s">
        <v>84</v>
      </c>
    </row>
    <row r="28" spans="1:8" s="40" customFormat="1" ht="36.75" customHeight="1">
      <c r="A28" s="10">
        <v>10</v>
      </c>
      <c r="B28" s="73" t="s">
        <v>190</v>
      </c>
      <c r="C28" s="44" t="s">
        <v>12</v>
      </c>
      <c r="D28" s="93"/>
      <c r="E28" s="93"/>
      <c r="F28" s="56" t="s">
        <v>209</v>
      </c>
      <c r="G28" s="56" t="s">
        <v>210</v>
      </c>
      <c r="H28" s="259" t="s">
        <v>556</v>
      </c>
    </row>
    <row r="29" spans="1:8" ht="54" customHeight="1">
      <c r="A29" s="10">
        <v>11</v>
      </c>
      <c r="B29" s="11" t="s">
        <v>285</v>
      </c>
      <c r="C29" s="49" t="s">
        <v>12</v>
      </c>
      <c r="D29" s="93">
        <v>45751</v>
      </c>
      <c r="E29" s="93">
        <v>45751</v>
      </c>
      <c r="F29" s="11" t="s">
        <v>281</v>
      </c>
      <c r="G29" s="17" t="s">
        <v>286</v>
      </c>
      <c r="H29" s="277" t="s">
        <v>84</v>
      </c>
    </row>
    <row r="30" spans="1:8" s="8" customFormat="1" ht="22.5" customHeight="1">
      <c r="A30" s="206" t="s">
        <v>174</v>
      </c>
      <c r="B30" s="512" t="s">
        <v>177</v>
      </c>
      <c r="C30" s="512"/>
      <c r="D30" s="512"/>
      <c r="E30" s="512"/>
      <c r="F30" s="512"/>
      <c r="G30" s="512"/>
      <c r="H30" s="512"/>
    </row>
    <row r="31" spans="1:8" s="274" customFormat="1" ht="29.25" customHeight="1">
      <c r="A31" s="268">
        <v>1</v>
      </c>
      <c r="B31" s="269" t="s">
        <v>175</v>
      </c>
      <c r="C31" s="517"/>
      <c r="D31" s="518"/>
      <c r="E31" s="518"/>
      <c r="F31" s="518"/>
      <c r="G31" s="518"/>
      <c r="H31" s="519"/>
    </row>
    <row r="32" spans="1:8" s="274" customFormat="1" ht="39.75" customHeight="1">
      <c r="A32" s="245">
        <v>2</v>
      </c>
      <c r="B32" s="270" t="s">
        <v>176</v>
      </c>
      <c r="C32" s="520"/>
      <c r="D32" s="521"/>
      <c r="E32" s="521"/>
      <c r="F32" s="521"/>
      <c r="G32" s="521"/>
      <c r="H32" s="522"/>
    </row>
    <row r="33" spans="1:8" s="40" customFormat="1" ht="21" customHeight="1">
      <c r="A33" s="513" t="s">
        <v>339</v>
      </c>
      <c r="B33" s="514"/>
      <c r="C33" s="514"/>
      <c r="D33" s="514"/>
      <c r="E33" s="514"/>
      <c r="F33" s="514"/>
      <c r="G33" s="514"/>
      <c r="H33" s="515"/>
    </row>
    <row r="34" spans="1:8" s="40" customFormat="1">
      <c r="A34" s="437" t="s">
        <v>2</v>
      </c>
      <c r="B34" s="523" t="s">
        <v>3</v>
      </c>
      <c r="C34" s="441" t="s">
        <v>4</v>
      </c>
      <c r="D34" s="443" t="s">
        <v>5</v>
      </c>
      <c r="E34" s="443"/>
      <c r="F34" s="437" t="s">
        <v>111</v>
      </c>
      <c r="G34" s="437"/>
      <c r="H34" s="444" t="s">
        <v>66</v>
      </c>
    </row>
    <row r="35" spans="1:8" s="40" customFormat="1">
      <c r="A35" s="438"/>
      <c r="B35" s="524"/>
      <c r="C35" s="442"/>
      <c r="D35" s="123" t="s">
        <v>8</v>
      </c>
      <c r="E35" s="123" t="s">
        <v>9</v>
      </c>
      <c r="F35" s="438"/>
      <c r="G35" s="438"/>
      <c r="H35" s="445"/>
    </row>
    <row r="36" spans="1:8" s="40" customFormat="1" ht="15.5">
      <c r="A36" s="35" t="s">
        <v>10</v>
      </c>
      <c r="B36" s="36" t="s">
        <v>11</v>
      </c>
      <c r="C36" s="44"/>
      <c r="D36" s="79"/>
      <c r="E36" s="79"/>
      <c r="F36" s="426"/>
      <c r="G36" s="426"/>
      <c r="H36" s="37"/>
    </row>
    <row r="37" spans="1:8" ht="15.5">
      <c r="A37" s="35" t="s">
        <v>13</v>
      </c>
      <c r="B37" s="72" t="s">
        <v>14</v>
      </c>
      <c r="C37" s="9"/>
      <c r="D37" s="28"/>
      <c r="E37" s="28"/>
      <c r="F37" s="426"/>
      <c r="G37" s="426"/>
      <c r="H37" s="4"/>
    </row>
    <row r="38" spans="1:8" ht="31">
      <c r="A38" s="44">
        <v>1</v>
      </c>
      <c r="B38" s="53" t="s">
        <v>202</v>
      </c>
      <c r="C38" s="44" t="s">
        <v>12</v>
      </c>
      <c r="D38" s="93">
        <v>45767</v>
      </c>
      <c r="E38" s="93">
        <v>45808</v>
      </c>
      <c r="F38" s="436" t="s">
        <v>160</v>
      </c>
      <c r="G38" s="423"/>
      <c r="H38" s="4"/>
    </row>
    <row r="39" spans="1:8" s="8" customFormat="1" ht="15.5">
      <c r="A39" s="10">
        <v>2</v>
      </c>
      <c r="B39" s="32" t="s">
        <v>201</v>
      </c>
      <c r="C39" s="10" t="s">
        <v>12</v>
      </c>
      <c r="D39" s="93">
        <v>45768</v>
      </c>
      <c r="E39" s="93">
        <v>45777</v>
      </c>
      <c r="F39" s="527" t="s">
        <v>214</v>
      </c>
      <c r="G39" s="528"/>
      <c r="H39" s="14"/>
    </row>
    <row r="40" spans="1:8" ht="77.5">
      <c r="A40" s="44">
        <v>3</v>
      </c>
      <c r="B40" s="71" t="s">
        <v>212</v>
      </c>
      <c r="C40" s="44" t="s">
        <v>39</v>
      </c>
      <c r="D40" s="93">
        <v>45769</v>
      </c>
      <c r="E40" s="93">
        <v>45787</v>
      </c>
      <c r="F40" s="436" t="s">
        <v>219</v>
      </c>
      <c r="G40" s="423"/>
      <c r="H40" s="37"/>
    </row>
    <row r="41" spans="1:8" ht="30.75" customHeight="1">
      <c r="A41" s="10">
        <v>4</v>
      </c>
      <c r="B41" s="53" t="s">
        <v>203</v>
      </c>
      <c r="C41" s="44" t="s">
        <v>39</v>
      </c>
      <c r="D41" s="93">
        <v>45757</v>
      </c>
      <c r="E41" s="93">
        <v>45787</v>
      </c>
      <c r="F41" s="424" t="s">
        <v>215</v>
      </c>
      <c r="G41" s="425"/>
      <c r="H41" s="4"/>
    </row>
    <row r="42" spans="1:8" s="40" customFormat="1" ht="15.5">
      <c r="A42" s="44">
        <v>5</v>
      </c>
      <c r="B42" s="73" t="s">
        <v>190</v>
      </c>
      <c r="C42" s="44" t="s">
        <v>12</v>
      </c>
      <c r="D42" s="93"/>
      <c r="E42" s="93"/>
      <c r="F42" s="422" t="s">
        <v>191</v>
      </c>
      <c r="G42" s="423"/>
      <c r="H42" s="98"/>
    </row>
    <row r="43" spans="1:8" ht="47.25" customHeight="1">
      <c r="A43" s="10">
        <v>6</v>
      </c>
      <c r="B43" s="11" t="s">
        <v>285</v>
      </c>
      <c r="C43" s="49" t="s">
        <v>12</v>
      </c>
      <c r="D43" s="93">
        <v>45767</v>
      </c>
      <c r="E43" s="93">
        <v>45797</v>
      </c>
      <c r="F43" s="530" t="s">
        <v>370</v>
      </c>
      <c r="G43" s="531"/>
      <c r="H43" s="14"/>
    </row>
    <row r="44" spans="1:8" ht="15.5">
      <c r="A44" s="132"/>
      <c r="B44" s="133"/>
      <c r="C44" s="134"/>
      <c r="D44" s="80"/>
      <c r="E44" s="80"/>
      <c r="F44" s="135"/>
      <c r="G44" s="136"/>
      <c r="H44" s="137"/>
    </row>
    <row r="45" spans="1:8" ht="18.75" customHeight="1">
      <c r="A45" s="511" t="s">
        <v>23</v>
      </c>
      <c r="B45" s="511"/>
      <c r="C45" s="511"/>
      <c r="D45" s="511"/>
      <c r="E45" s="511"/>
      <c r="F45" s="511"/>
      <c r="G45" s="511"/>
      <c r="H45" s="511"/>
    </row>
    <row r="46" spans="1:8" ht="15">
      <c r="A46" s="478" t="s">
        <v>395</v>
      </c>
      <c r="B46" s="478"/>
      <c r="C46" s="478"/>
      <c r="D46" s="478"/>
      <c r="E46" s="478"/>
      <c r="F46" s="478"/>
      <c r="G46" s="478"/>
      <c r="H46" s="478"/>
    </row>
    <row r="47" spans="1:8" s="1" customFormat="1" ht="15.75" customHeight="1">
      <c r="A47" s="516" t="s">
        <v>2</v>
      </c>
      <c r="B47" s="525" t="s">
        <v>3</v>
      </c>
      <c r="C47" s="516" t="s">
        <v>4</v>
      </c>
      <c r="D47" s="526" t="s">
        <v>5</v>
      </c>
      <c r="E47" s="526"/>
      <c r="F47" s="525" t="s">
        <v>6</v>
      </c>
      <c r="G47" s="516" t="s">
        <v>7</v>
      </c>
      <c r="H47" s="516" t="s">
        <v>392</v>
      </c>
    </row>
    <row r="48" spans="1:8" s="1" customFormat="1" ht="15.5">
      <c r="A48" s="516"/>
      <c r="B48" s="525"/>
      <c r="C48" s="516"/>
      <c r="D48" s="76" t="s">
        <v>8</v>
      </c>
      <c r="E48" s="76" t="s">
        <v>9</v>
      </c>
      <c r="F48" s="525"/>
      <c r="G48" s="516"/>
      <c r="H48" s="516"/>
    </row>
    <row r="49" spans="1:8" ht="15.5">
      <c r="A49" s="35" t="s">
        <v>10</v>
      </c>
      <c r="B49" s="36" t="s">
        <v>11</v>
      </c>
      <c r="C49" s="37"/>
      <c r="D49" s="79"/>
      <c r="E49" s="79"/>
      <c r="F49" s="63"/>
      <c r="G49" s="38"/>
      <c r="H49" s="279" t="s">
        <v>84</v>
      </c>
    </row>
    <row r="50" spans="1:8" ht="31">
      <c r="A50" s="41">
        <v>1</v>
      </c>
      <c r="B50" s="139" t="s">
        <v>221</v>
      </c>
      <c r="C50" s="142" t="s">
        <v>12</v>
      </c>
      <c r="D50" s="93">
        <v>45737</v>
      </c>
      <c r="E50" s="93">
        <v>45737</v>
      </c>
      <c r="F50" s="18" t="s">
        <v>136</v>
      </c>
      <c r="G50" s="38"/>
      <c r="H50" s="277" t="s">
        <v>84</v>
      </c>
    </row>
    <row r="51" spans="1:8" ht="15.5">
      <c r="A51" s="41">
        <v>2</v>
      </c>
      <c r="B51" s="140" t="s">
        <v>222</v>
      </c>
      <c r="C51" s="143" t="s">
        <v>12</v>
      </c>
      <c r="D51" s="93">
        <v>45740</v>
      </c>
      <c r="E51" s="93">
        <v>45740</v>
      </c>
      <c r="F51" s="144" t="s">
        <v>136</v>
      </c>
      <c r="G51" s="38"/>
      <c r="H51" s="277" t="s">
        <v>84</v>
      </c>
    </row>
    <row r="52" spans="1:8" ht="31.5" customHeight="1">
      <c r="A52" s="41">
        <v>3</v>
      </c>
      <c r="B52" s="140" t="s">
        <v>223</v>
      </c>
      <c r="C52" s="143" t="s">
        <v>12</v>
      </c>
      <c r="D52" s="93">
        <v>45740</v>
      </c>
      <c r="E52" s="93">
        <v>45741</v>
      </c>
      <c r="F52" s="144" t="s">
        <v>136</v>
      </c>
      <c r="G52" s="38"/>
      <c r="H52" s="277" t="s">
        <v>84</v>
      </c>
    </row>
    <row r="53" spans="1:8" ht="15.5">
      <c r="A53" s="41">
        <v>4</v>
      </c>
      <c r="B53" s="140" t="s">
        <v>224</v>
      </c>
      <c r="C53" s="143" t="s">
        <v>12</v>
      </c>
      <c r="D53" s="93">
        <v>45742</v>
      </c>
      <c r="E53" s="93">
        <v>45744</v>
      </c>
      <c r="F53" s="145"/>
      <c r="G53" s="38"/>
      <c r="H53" s="277" t="s">
        <v>84</v>
      </c>
    </row>
    <row r="54" spans="1:8" ht="31">
      <c r="A54" s="41">
        <v>5</v>
      </c>
      <c r="B54" s="140" t="s">
        <v>225</v>
      </c>
      <c r="C54" s="143" t="s">
        <v>12</v>
      </c>
      <c r="D54" s="93">
        <v>45743</v>
      </c>
      <c r="E54" s="93">
        <v>45743</v>
      </c>
      <c r="F54" s="144" t="s">
        <v>136</v>
      </c>
      <c r="G54" s="38"/>
      <c r="H54" s="277" t="s">
        <v>84</v>
      </c>
    </row>
    <row r="55" spans="1:8" ht="30.75" customHeight="1">
      <c r="A55" s="41">
        <v>6</v>
      </c>
      <c r="B55" s="140" t="s">
        <v>226</v>
      </c>
      <c r="C55" s="143" t="s">
        <v>12</v>
      </c>
      <c r="D55" s="93">
        <v>45747</v>
      </c>
      <c r="E55" s="93">
        <v>45749</v>
      </c>
      <c r="F55" s="145"/>
      <c r="G55" s="38"/>
      <c r="H55" s="277" t="s">
        <v>84</v>
      </c>
    </row>
    <row r="56" spans="1:8" ht="15.5">
      <c r="A56" s="41">
        <v>7</v>
      </c>
      <c r="B56" s="140" t="s">
        <v>227</v>
      </c>
      <c r="C56" s="143" t="s">
        <v>12</v>
      </c>
      <c r="D56" s="93">
        <v>45749</v>
      </c>
      <c r="E56" s="93">
        <v>45752</v>
      </c>
      <c r="F56" s="144" t="s">
        <v>136</v>
      </c>
      <c r="G56" s="38"/>
      <c r="H56" s="277" t="s">
        <v>84</v>
      </c>
    </row>
    <row r="57" spans="1:8" ht="31">
      <c r="A57" s="41">
        <v>8</v>
      </c>
      <c r="B57" s="140" t="s">
        <v>228</v>
      </c>
      <c r="C57" s="143" t="s">
        <v>12</v>
      </c>
      <c r="D57" s="93">
        <v>45755</v>
      </c>
      <c r="E57" s="93">
        <v>45755</v>
      </c>
      <c r="F57" s="145" t="s">
        <v>136</v>
      </c>
      <c r="G57" s="38"/>
      <c r="H57" s="277" t="s">
        <v>84</v>
      </c>
    </row>
    <row r="58" spans="1:8" ht="15.5">
      <c r="A58" s="41">
        <v>9</v>
      </c>
      <c r="B58" s="140" t="s">
        <v>229</v>
      </c>
      <c r="C58" s="143" t="s">
        <v>12</v>
      </c>
      <c r="D58" s="93">
        <v>45756</v>
      </c>
      <c r="E58" s="93">
        <v>45756</v>
      </c>
      <c r="F58" s="145" t="s">
        <v>136</v>
      </c>
      <c r="G58" s="38"/>
      <c r="H58" s="277" t="s">
        <v>84</v>
      </c>
    </row>
    <row r="59" spans="1:8" ht="31">
      <c r="A59" s="41">
        <v>10</v>
      </c>
      <c r="B59" s="140" t="s">
        <v>230</v>
      </c>
      <c r="C59" s="143" t="s">
        <v>12</v>
      </c>
      <c r="D59" s="93">
        <v>45757</v>
      </c>
      <c r="E59" s="93">
        <v>45757</v>
      </c>
      <c r="F59" s="145" t="s">
        <v>136</v>
      </c>
      <c r="G59" s="38"/>
      <c r="H59" s="277" t="s">
        <v>84</v>
      </c>
    </row>
    <row r="60" spans="1:8" ht="21" customHeight="1">
      <c r="A60" s="41">
        <v>11</v>
      </c>
      <c r="B60" s="140" t="s">
        <v>231</v>
      </c>
      <c r="C60" s="143" t="s">
        <v>12</v>
      </c>
      <c r="D60" s="93">
        <v>45758</v>
      </c>
      <c r="E60" s="93">
        <v>45758</v>
      </c>
      <c r="F60" s="145" t="s">
        <v>136</v>
      </c>
      <c r="G60" s="38"/>
      <c r="H60" s="277" t="s">
        <v>84</v>
      </c>
    </row>
    <row r="61" spans="1:8" ht="15.5">
      <c r="A61" s="41">
        <v>12</v>
      </c>
      <c r="B61" s="140" t="s">
        <v>232</v>
      </c>
      <c r="C61" s="143" t="s">
        <v>246</v>
      </c>
      <c r="D61" s="93">
        <v>45761</v>
      </c>
      <c r="E61" s="93">
        <v>45761</v>
      </c>
      <c r="F61" s="145" t="s">
        <v>136</v>
      </c>
      <c r="G61" s="38"/>
      <c r="H61" s="277" t="s">
        <v>84</v>
      </c>
    </row>
    <row r="62" spans="1:8" ht="31">
      <c r="A62" s="41">
        <v>13</v>
      </c>
      <c r="B62" s="140" t="s">
        <v>233</v>
      </c>
      <c r="C62" s="143" t="s">
        <v>246</v>
      </c>
      <c r="D62" s="93">
        <v>45761</v>
      </c>
      <c r="E62" s="93">
        <v>45761</v>
      </c>
      <c r="F62" s="145" t="s">
        <v>136</v>
      </c>
      <c r="G62" s="38"/>
      <c r="H62" s="277" t="s">
        <v>84</v>
      </c>
    </row>
    <row r="63" spans="1:8" ht="31">
      <c r="A63" s="41">
        <v>14</v>
      </c>
      <c r="B63" s="140" t="s">
        <v>234</v>
      </c>
      <c r="C63" s="143" t="s">
        <v>12</v>
      </c>
      <c r="D63" s="93">
        <v>45761</v>
      </c>
      <c r="E63" s="93">
        <v>45761</v>
      </c>
      <c r="F63" s="145" t="s">
        <v>136</v>
      </c>
      <c r="G63" s="38"/>
      <c r="H63" s="277" t="s">
        <v>84</v>
      </c>
    </row>
    <row r="64" spans="1:8" ht="31">
      <c r="A64" s="41">
        <v>15</v>
      </c>
      <c r="B64" s="141" t="s">
        <v>235</v>
      </c>
      <c r="C64" s="143" t="s">
        <v>246</v>
      </c>
      <c r="D64" s="93">
        <v>45762</v>
      </c>
      <c r="E64" s="93">
        <v>45762</v>
      </c>
      <c r="F64" s="145" t="s">
        <v>136</v>
      </c>
      <c r="G64" s="38"/>
      <c r="H64" s="277" t="s">
        <v>84</v>
      </c>
    </row>
    <row r="65" spans="1:8" ht="31">
      <c r="A65" s="41">
        <v>16</v>
      </c>
      <c r="B65" s="141" t="s">
        <v>236</v>
      </c>
      <c r="C65" s="143" t="s">
        <v>246</v>
      </c>
      <c r="D65" s="93">
        <v>45762</v>
      </c>
      <c r="E65" s="93">
        <v>45762</v>
      </c>
      <c r="F65" s="145" t="s">
        <v>136</v>
      </c>
      <c r="G65" s="38"/>
      <c r="H65" s="277" t="s">
        <v>84</v>
      </c>
    </row>
    <row r="66" spans="1:8" ht="77.5">
      <c r="A66" s="41">
        <v>17</v>
      </c>
      <c r="B66" s="141" t="s">
        <v>249</v>
      </c>
      <c r="C66" s="143" t="s">
        <v>246</v>
      </c>
      <c r="D66" s="93">
        <v>45762</v>
      </c>
      <c r="E66" s="93">
        <v>45764</v>
      </c>
      <c r="F66" s="192" t="s">
        <v>250</v>
      </c>
      <c r="G66" s="191" t="s">
        <v>344</v>
      </c>
      <c r="H66" s="277" t="s">
        <v>84</v>
      </c>
    </row>
    <row r="67" spans="1:8" ht="15.5">
      <c r="A67" s="41">
        <v>18</v>
      </c>
      <c r="B67" s="140" t="s">
        <v>237</v>
      </c>
      <c r="C67" s="143" t="s">
        <v>12</v>
      </c>
      <c r="D67" s="93">
        <v>45762</v>
      </c>
      <c r="E67" s="93">
        <v>45762</v>
      </c>
      <c r="F67" s="145" t="s">
        <v>136</v>
      </c>
      <c r="G67" s="38"/>
      <c r="H67" s="277" t="s">
        <v>84</v>
      </c>
    </row>
    <row r="68" spans="1:8" ht="40.5" customHeight="1">
      <c r="A68" s="41">
        <v>19</v>
      </c>
      <c r="B68" s="141" t="s">
        <v>238</v>
      </c>
      <c r="C68" s="143" t="s">
        <v>12</v>
      </c>
      <c r="D68" s="93">
        <v>45763</v>
      </c>
      <c r="E68" s="93">
        <v>45763</v>
      </c>
      <c r="F68" s="145" t="s">
        <v>136</v>
      </c>
      <c r="G68" s="38"/>
      <c r="H68" s="277" t="s">
        <v>84</v>
      </c>
    </row>
    <row r="69" spans="1:8" s="62" customFormat="1" ht="36.75" customHeight="1">
      <c r="A69" s="104">
        <v>20</v>
      </c>
      <c r="B69" s="141" t="s">
        <v>239</v>
      </c>
      <c r="C69" s="146" t="s">
        <v>246</v>
      </c>
      <c r="D69" s="93">
        <v>45763</v>
      </c>
      <c r="E69" s="93">
        <v>45763</v>
      </c>
      <c r="F69" s="145" t="s">
        <v>136</v>
      </c>
      <c r="G69" s="50"/>
      <c r="H69" s="277" t="s">
        <v>84</v>
      </c>
    </row>
    <row r="70" spans="1:8" s="8" customFormat="1" ht="43.5" customHeight="1">
      <c r="A70" s="41">
        <v>21</v>
      </c>
      <c r="B70" s="140" t="s">
        <v>240</v>
      </c>
      <c r="C70" s="143" t="s">
        <v>12</v>
      </c>
      <c r="D70" s="93">
        <v>45764</v>
      </c>
      <c r="E70" s="93">
        <v>45764</v>
      </c>
      <c r="F70" s="145" t="s">
        <v>136</v>
      </c>
      <c r="G70" s="50"/>
      <c r="H70" s="277" t="s">
        <v>84</v>
      </c>
    </row>
    <row r="71" spans="1:8" s="62" customFormat="1" ht="48" customHeight="1">
      <c r="A71" s="41">
        <v>22</v>
      </c>
      <c r="B71" s="140" t="s">
        <v>241</v>
      </c>
      <c r="C71" s="143" t="s">
        <v>246</v>
      </c>
      <c r="D71" s="93">
        <v>45765</v>
      </c>
      <c r="E71" s="93">
        <v>45765</v>
      </c>
      <c r="F71" s="145" t="s">
        <v>247</v>
      </c>
      <c r="G71" s="50"/>
      <c r="H71" s="277" t="s">
        <v>84</v>
      </c>
    </row>
    <row r="72" spans="1:8" s="8" customFormat="1" ht="31">
      <c r="A72" s="41">
        <v>23</v>
      </c>
      <c r="B72" s="140" t="s">
        <v>242</v>
      </c>
      <c r="C72" s="143" t="s">
        <v>12</v>
      </c>
      <c r="D72" s="93">
        <v>45765</v>
      </c>
      <c r="E72" s="93">
        <v>45765</v>
      </c>
      <c r="F72" s="145" t="s">
        <v>136</v>
      </c>
      <c r="G72" s="56"/>
      <c r="H72" s="277" t="s">
        <v>84</v>
      </c>
    </row>
    <row r="73" spans="1:8" s="8" customFormat="1" ht="31">
      <c r="A73" s="41">
        <v>24</v>
      </c>
      <c r="B73" s="140" t="s">
        <v>243</v>
      </c>
      <c r="C73" s="146" t="s">
        <v>246</v>
      </c>
      <c r="D73" s="93">
        <v>45765</v>
      </c>
      <c r="E73" s="93">
        <v>45765</v>
      </c>
      <c r="F73" s="145" t="s">
        <v>136</v>
      </c>
      <c r="G73" s="42"/>
      <c r="H73" s="277" t="s">
        <v>84</v>
      </c>
    </row>
    <row r="74" spans="1:8" s="62" customFormat="1" ht="31">
      <c r="A74" s="41">
        <v>25</v>
      </c>
      <c r="B74" s="140" t="s">
        <v>244</v>
      </c>
      <c r="C74" s="146" t="s">
        <v>246</v>
      </c>
      <c r="D74" s="93">
        <v>45766</v>
      </c>
      <c r="E74" s="93">
        <v>45766</v>
      </c>
      <c r="F74" s="145" t="s">
        <v>136</v>
      </c>
      <c r="G74" s="67"/>
      <c r="H74" s="277" t="s">
        <v>84</v>
      </c>
    </row>
    <row r="75" spans="1:8" s="62" customFormat="1" ht="15.5">
      <c r="A75" s="104">
        <v>26</v>
      </c>
      <c r="B75" s="139" t="s">
        <v>245</v>
      </c>
      <c r="C75" s="142" t="s">
        <v>12</v>
      </c>
      <c r="D75" s="93">
        <v>45766</v>
      </c>
      <c r="E75" s="93">
        <v>45772</v>
      </c>
      <c r="F75" s="280" t="s">
        <v>248</v>
      </c>
      <c r="G75" s="281"/>
      <c r="H75" s="147"/>
    </row>
    <row r="76" spans="1:8" ht="15.5">
      <c r="A76" s="58" t="s">
        <v>13</v>
      </c>
      <c r="B76" s="59" t="s">
        <v>14</v>
      </c>
      <c r="C76" s="16"/>
      <c r="D76" s="81"/>
      <c r="E76" s="81"/>
      <c r="F76" s="45"/>
      <c r="G76" s="56"/>
      <c r="H76" s="277"/>
    </row>
    <row r="77" spans="1:8" s="8" customFormat="1" ht="47.25" customHeight="1">
      <c r="A77" s="48">
        <v>1</v>
      </c>
      <c r="B77" s="53" t="s">
        <v>135</v>
      </c>
      <c r="C77" s="43" t="s">
        <v>12</v>
      </c>
      <c r="D77" s="93">
        <v>45722</v>
      </c>
      <c r="E77" s="93">
        <v>45736</v>
      </c>
      <c r="F77" s="167" t="s">
        <v>345</v>
      </c>
      <c r="G77" s="50"/>
      <c r="H77" s="277" t="s">
        <v>84</v>
      </c>
    </row>
    <row r="78" spans="1:8" s="62" customFormat="1" ht="102" customHeight="1">
      <c r="A78" s="48">
        <v>2</v>
      </c>
      <c r="B78" s="15" t="s">
        <v>137</v>
      </c>
      <c r="C78" s="49" t="s">
        <v>39</v>
      </c>
      <c r="D78" s="93">
        <v>45723</v>
      </c>
      <c r="E78" s="93">
        <v>45745</v>
      </c>
      <c r="F78" s="11" t="s">
        <v>220</v>
      </c>
      <c r="G78" s="42" t="s">
        <v>59</v>
      </c>
      <c r="H78" s="147" t="s">
        <v>84</v>
      </c>
    </row>
    <row r="79" spans="1:8" ht="31">
      <c r="A79" s="44">
        <v>3</v>
      </c>
      <c r="B79" s="53" t="s">
        <v>144</v>
      </c>
      <c r="C79" s="44" t="s">
        <v>12</v>
      </c>
      <c r="D79" s="93">
        <v>45757</v>
      </c>
      <c r="E79" s="93">
        <v>45764</v>
      </c>
      <c r="F79" s="193" t="s">
        <v>252</v>
      </c>
      <c r="G79" s="37"/>
      <c r="H79" s="277" t="s">
        <v>84</v>
      </c>
    </row>
    <row r="80" spans="1:8" s="151" customFormat="1" ht="48.75" customHeight="1">
      <c r="A80" s="147">
        <v>4</v>
      </c>
      <c r="B80" s="148" t="s">
        <v>254</v>
      </c>
      <c r="C80" s="147" t="s">
        <v>39</v>
      </c>
      <c r="D80" s="93"/>
      <c r="E80" s="93"/>
      <c r="F80" s="149" t="s">
        <v>251</v>
      </c>
      <c r="G80" s="202" t="s">
        <v>397</v>
      </c>
      <c r="H80" s="168" t="s">
        <v>598</v>
      </c>
    </row>
    <row r="81" spans="1:8" s="8" customFormat="1" ht="46.5">
      <c r="A81" s="147">
        <v>5</v>
      </c>
      <c r="B81" s="152" t="s">
        <v>138</v>
      </c>
      <c r="C81" s="154" t="s">
        <v>39</v>
      </c>
      <c r="D81" s="93"/>
      <c r="E81" s="93"/>
      <c r="F81" s="149" t="s">
        <v>251</v>
      </c>
      <c r="G81" s="153" t="s">
        <v>253</v>
      </c>
      <c r="H81" s="168" t="s">
        <v>598</v>
      </c>
    </row>
    <row r="82" spans="1:8" s="8" customFormat="1" ht="22.5" customHeight="1">
      <c r="A82" s="206" t="s">
        <v>174</v>
      </c>
      <c r="B82" s="532" t="s">
        <v>177</v>
      </c>
      <c r="C82" s="533"/>
      <c r="D82" s="533"/>
      <c r="E82" s="533"/>
      <c r="F82" s="533"/>
      <c r="G82" s="533"/>
      <c r="H82" s="534"/>
    </row>
    <row r="83" spans="1:8" s="8" customFormat="1" ht="34.5" customHeight="1">
      <c r="A83" s="104">
        <v>1</v>
      </c>
      <c r="B83" s="206" t="s">
        <v>182</v>
      </c>
      <c r="C83" s="535" t="s">
        <v>599</v>
      </c>
      <c r="D83" s="535"/>
      <c r="E83" s="535"/>
      <c r="F83" s="535"/>
      <c r="G83" s="535"/>
      <c r="H83" s="535"/>
    </row>
    <row r="84" spans="1:8" s="8" customFormat="1" ht="20.25" customHeight="1">
      <c r="A84" s="104">
        <v>2</v>
      </c>
      <c r="B84" s="36" t="s">
        <v>183</v>
      </c>
      <c r="C84" s="488" t="s">
        <v>185</v>
      </c>
      <c r="D84" s="536"/>
      <c r="E84" s="536"/>
      <c r="F84" s="536"/>
      <c r="G84" s="536"/>
      <c r="H84" s="489"/>
    </row>
    <row r="85" spans="1:8" ht="15.5">
      <c r="A85" s="107"/>
      <c r="B85" s="130"/>
      <c r="C85" s="126"/>
      <c r="D85" s="127"/>
      <c r="E85" s="127"/>
      <c r="F85" s="131"/>
      <c r="G85" s="131"/>
      <c r="H85" s="128"/>
    </row>
    <row r="86" spans="1:8" ht="15.5">
      <c r="A86" s="113" t="s">
        <v>396</v>
      </c>
      <c r="B86" s="114"/>
      <c r="C86" s="114"/>
      <c r="D86" s="115"/>
      <c r="E86" s="115"/>
      <c r="F86" s="114"/>
      <c r="G86" s="114"/>
      <c r="H86" s="114"/>
    </row>
    <row r="87" spans="1:8">
      <c r="A87" s="471" t="s">
        <v>2</v>
      </c>
      <c r="B87" s="471" t="s">
        <v>3</v>
      </c>
      <c r="C87" s="455" t="s">
        <v>4</v>
      </c>
      <c r="D87" s="473" t="s">
        <v>5</v>
      </c>
      <c r="E87" s="473"/>
      <c r="F87" s="471" t="s">
        <v>111</v>
      </c>
      <c r="G87" s="471"/>
      <c r="H87" s="455" t="s">
        <v>66</v>
      </c>
    </row>
    <row r="88" spans="1:8">
      <c r="A88" s="471"/>
      <c r="B88" s="471"/>
      <c r="C88" s="455"/>
      <c r="D88" s="82" t="s">
        <v>8</v>
      </c>
      <c r="E88" s="82" t="s">
        <v>9</v>
      </c>
      <c r="F88" s="471"/>
      <c r="G88" s="471"/>
      <c r="H88" s="455"/>
    </row>
    <row r="89" spans="1:8" ht="15.5">
      <c r="A89" s="68" t="s">
        <v>10</v>
      </c>
      <c r="B89" s="69" t="s">
        <v>11</v>
      </c>
      <c r="C89" s="57"/>
      <c r="D89" s="83"/>
      <c r="E89" s="83"/>
      <c r="F89" s="537"/>
      <c r="G89" s="537"/>
      <c r="H89" s="112"/>
    </row>
    <row r="90" spans="1:8" ht="24" customHeight="1">
      <c r="A90" s="48">
        <v>1</v>
      </c>
      <c r="B90" s="15" t="s">
        <v>398</v>
      </c>
      <c r="C90" s="44" t="s">
        <v>12</v>
      </c>
      <c r="D90" s="80">
        <v>45768</v>
      </c>
      <c r="E90" s="80">
        <v>45772</v>
      </c>
      <c r="F90" s="538" t="s">
        <v>401</v>
      </c>
      <c r="G90" s="426"/>
      <c r="H90" s="37"/>
    </row>
    <row r="91" spans="1:8" ht="24" customHeight="1">
      <c r="A91" s="44">
        <v>2</v>
      </c>
      <c r="B91" s="15" t="s">
        <v>141</v>
      </c>
      <c r="C91" s="44" t="s">
        <v>12</v>
      </c>
      <c r="D91" s="80">
        <v>45768</v>
      </c>
      <c r="E91" s="80">
        <v>45772</v>
      </c>
      <c r="F91" s="538" t="s">
        <v>401</v>
      </c>
      <c r="G91" s="426"/>
      <c r="H91" s="37"/>
    </row>
    <row r="92" spans="1:8" ht="28.5" customHeight="1">
      <c r="A92" s="44">
        <v>3</v>
      </c>
      <c r="B92" s="15" t="s">
        <v>399</v>
      </c>
      <c r="C92" s="44" t="s">
        <v>12</v>
      </c>
      <c r="D92" s="84">
        <v>45787</v>
      </c>
      <c r="E92" s="84">
        <v>45790</v>
      </c>
      <c r="F92" s="538" t="s">
        <v>169</v>
      </c>
      <c r="G92" s="426"/>
      <c r="H92" s="37"/>
    </row>
    <row r="93" spans="1:8" ht="28.5" customHeight="1">
      <c r="A93" s="44">
        <v>4</v>
      </c>
      <c r="B93" s="15" t="s">
        <v>402</v>
      </c>
      <c r="C93" s="44" t="s">
        <v>12</v>
      </c>
      <c r="D93" s="84">
        <v>45767</v>
      </c>
      <c r="E93" s="84">
        <v>45770</v>
      </c>
      <c r="F93" s="538" t="s">
        <v>403</v>
      </c>
      <c r="G93" s="426"/>
      <c r="H93" s="37"/>
    </row>
    <row r="94" spans="1:8" ht="15.5">
      <c r="A94" s="35" t="s">
        <v>13</v>
      </c>
      <c r="B94" s="36" t="s">
        <v>14</v>
      </c>
      <c r="C94" s="50"/>
      <c r="D94" s="85"/>
      <c r="E94" s="85"/>
      <c r="F94" s="537"/>
      <c r="G94" s="537"/>
      <c r="H94" s="37"/>
    </row>
    <row r="95" spans="1:8" ht="59.25" customHeight="1">
      <c r="A95" s="44">
        <v>1</v>
      </c>
      <c r="B95" s="15" t="s">
        <v>404</v>
      </c>
      <c r="C95" s="44" t="s">
        <v>12</v>
      </c>
      <c r="D95" s="80">
        <v>45779</v>
      </c>
      <c r="E95" s="80">
        <v>45797</v>
      </c>
      <c r="F95" s="436" t="s">
        <v>160</v>
      </c>
      <c r="G95" s="423"/>
      <c r="H95" s="37"/>
    </row>
    <row r="96" spans="1:8" s="151" customFormat="1" ht="31">
      <c r="A96" s="147">
        <v>2</v>
      </c>
      <c r="B96" s="148" t="s">
        <v>254</v>
      </c>
      <c r="C96" s="147" t="s">
        <v>39</v>
      </c>
      <c r="D96" s="93"/>
      <c r="E96" s="93"/>
      <c r="F96" s="545" t="s">
        <v>400</v>
      </c>
      <c r="G96" s="546"/>
      <c r="H96" s="150"/>
    </row>
    <row r="97" spans="1:8" s="52" customFormat="1" ht="46.5">
      <c r="A97" s="44">
        <v>3</v>
      </c>
      <c r="B97" s="15" t="s">
        <v>138</v>
      </c>
      <c r="C97" s="49" t="s">
        <v>39</v>
      </c>
      <c r="D97" s="93"/>
      <c r="E97" s="93"/>
      <c r="F97" s="424" t="s">
        <v>253</v>
      </c>
      <c r="G97" s="425"/>
      <c r="H97" s="50"/>
    </row>
    <row r="98" spans="1:8" ht="15.5">
      <c r="A98" s="44"/>
      <c r="B98" s="53"/>
      <c r="C98" s="44"/>
      <c r="D98" s="129"/>
      <c r="E98" s="129"/>
      <c r="F98" s="476"/>
      <c r="G98" s="477"/>
      <c r="H98" s="50"/>
    </row>
    <row r="99" spans="1:8" s="70" customFormat="1" ht="21.75" customHeight="1">
      <c r="A99" s="547" t="s">
        <v>24</v>
      </c>
      <c r="B99" s="548"/>
      <c r="C99" s="548"/>
      <c r="D99" s="548"/>
      <c r="E99" s="548"/>
      <c r="F99" s="548"/>
      <c r="G99" s="548"/>
      <c r="H99" s="549"/>
    </row>
    <row r="100" spans="1:8" ht="15">
      <c r="A100" s="478" t="s">
        <v>395</v>
      </c>
      <c r="B100" s="478"/>
      <c r="C100" s="478"/>
      <c r="D100" s="478"/>
      <c r="E100" s="478"/>
      <c r="F100" s="478"/>
      <c r="G100" s="478"/>
      <c r="H100" s="478"/>
    </row>
    <row r="101" spans="1:8" ht="15.75" customHeight="1">
      <c r="A101" s="525" t="s">
        <v>2</v>
      </c>
      <c r="B101" s="525" t="s">
        <v>3</v>
      </c>
      <c r="C101" s="516" t="s">
        <v>4</v>
      </c>
      <c r="D101" s="558" t="s">
        <v>5</v>
      </c>
      <c r="E101" s="558"/>
      <c r="F101" s="525" t="s">
        <v>6</v>
      </c>
      <c r="G101" s="516" t="s">
        <v>7</v>
      </c>
      <c r="H101" s="516" t="s">
        <v>392</v>
      </c>
    </row>
    <row r="102" spans="1:8" ht="15" customHeight="1">
      <c r="A102" s="525"/>
      <c r="B102" s="525"/>
      <c r="C102" s="516"/>
      <c r="D102" s="26" t="s">
        <v>8</v>
      </c>
      <c r="E102" s="26" t="s">
        <v>9</v>
      </c>
      <c r="F102" s="525"/>
      <c r="G102" s="516"/>
      <c r="H102" s="516"/>
    </row>
    <row r="103" spans="1:8" ht="15.5">
      <c r="A103" s="285" t="s">
        <v>10</v>
      </c>
      <c r="B103" s="286" t="s">
        <v>11</v>
      </c>
      <c r="C103" s="256" t="s">
        <v>12</v>
      </c>
      <c r="D103" s="309"/>
      <c r="E103" s="309"/>
      <c r="F103" s="297"/>
      <c r="G103" s="297"/>
      <c r="H103" s="297"/>
    </row>
    <row r="104" spans="1:8" ht="31">
      <c r="A104" s="44">
        <v>1</v>
      </c>
      <c r="B104" s="42" t="s">
        <v>255</v>
      </c>
      <c r="C104" s="43" t="s">
        <v>12</v>
      </c>
      <c r="D104" s="463" t="s">
        <v>68</v>
      </c>
      <c r="E104" s="464"/>
      <c r="F104" s="45" t="s">
        <v>256</v>
      </c>
      <c r="G104" s="46" t="s">
        <v>70</v>
      </c>
      <c r="H104" s="66" t="s">
        <v>597</v>
      </c>
    </row>
    <row r="105" spans="1:8" ht="39.75" customHeight="1">
      <c r="A105" s="44">
        <v>2</v>
      </c>
      <c r="B105" s="42" t="s">
        <v>257</v>
      </c>
      <c r="C105" s="43" t="s">
        <v>12</v>
      </c>
      <c r="D105" s="463" t="s">
        <v>68</v>
      </c>
      <c r="E105" s="464"/>
      <c r="F105" s="45" t="s">
        <v>258</v>
      </c>
      <c r="G105" s="46" t="s">
        <v>70</v>
      </c>
      <c r="H105" s="66" t="s">
        <v>393</v>
      </c>
    </row>
    <row r="106" spans="1:8" ht="33" customHeight="1">
      <c r="A106" s="44">
        <v>3</v>
      </c>
      <c r="B106" s="42" t="s">
        <v>259</v>
      </c>
      <c r="C106" s="43" t="s">
        <v>12</v>
      </c>
      <c r="D106" s="463" t="s">
        <v>260</v>
      </c>
      <c r="E106" s="464"/>
      <c r="F106" s="45" t="s">
        <v>261</v>
      </c>
      <c r="G106" s="165" t="s">
        <v>262</v>
      </c>
      <c r="H106" s="66" t="s">
        <v>270</v>
      </c>
    </row>
    <row r="107" spans="1:8" ht="73.5" customHeight="1">
      <c r="A107" s="44">
        <v>4</v>
      </c>
      <c r="B107" s="16" t="s">
        <v>263</v>
      </c>
      <c r="C107" s="43" t="s">
        <v>39</v>
      </c>
      <c r="D107" s="463" t="s">
        <v>68</v>
      </c>
      <c r="E107" s="464"/>
      <c r="F107" s="45" t="s">
        <v>273</v>
      </c>
      <c r="G107" s="46" t="s">
        <v>70</v>
      </c>
      <c r="H107" s="60" t="s">
        <v>596</v>
      </c>
    </row>
    <row r="108" spans="1:8" s="40" customFormat="1" ht="62">
      <c r="A108" s="44" t="s">
        <v>346</v>
      </c>
      <c r="B108" s="167" t="s">
        <v>342</v>
      </c>
      <c r="C108" s="43" t="s">
        <v>39</v>
      </c>
      <c r="D108" s="463" t="s">
        <v>350</v>
      </c>
      <c r="E108" s="464"/>
      <c r="F108" s="45" t="s">
        <v>595</v>
      </c>
      <c r="G108" s="46"/>
      <c r="H108" s="16"/>
    </row>
    <row r="109" spans="1:8" s="40" customFormat="1" ht="22.5" customHeight="1">
      <c r="A109" s="44" t="s">
        <v>347</v>
      </c>
      <c r="B109" s="167" t="s">
        <v>16</v>
      </c>
      <c r="C109" s="43"/>
      <c r="D109" s="163"/>
      <c r="E109" s="164"/>
      <c r="F109" s="45"/>
      <c r="G109" s="46"/>
      <c r="H109" s="16"/>
    </row>
    <row r="110" spans="1:8" s="40" customFormat="1" ht="31">
      <c r="A110" s="44">
        <v>5</v>
      </c>
      <c r="B110" s="53" t="s">
        <v>272</v>
      </c>
      <c r="C110" s="43" t="s">
        <v>39</v>
      </c>
      <c r="D110" s="463" t="s">
        <v>350</v>
      </c>
      <c r="E110" s="464"/>
      <c r="F110" s="45" t="s">
        <v>595</v>
      </c>
      <c r="G110" s="46"/>
      <c r="H110" s="37"/>
    </row>
    <row r="111" spans="1:8" s="40" customFormat="1" ht="67.5" customHeight="1">
      <c r="A111" s="44" t="s">
        <v>348</v>
      </c>
      <c r="B111" s="167" t="s">
        <v>342</v>
      </c>
      <c r="C111" s="43"/>
      <c r="D111" s="163"/>
      <c r="E111" s="164"/>
      <c r="F111" s="45"/>
      <c r="G111" s="275"/>
      <c r="H111" s="37"/>
    </row>
    <row r="112" spans="1:8" ht="20.25" customHeight="1">
      <c r="A112" s="10" t="s">
        <v>349</v>
      </c>
      <c r="B112" s="148" t="s">
        <v>16</v>
      </c>
      <c r="C112" s="156"/>
      <c r="D112" s="157"/>
      <c r="E112" s="158"/>
      <c r="F112" s="159"/>
      <c r="G112" s="155"/>
      <c r="H112" s="4"/>
    </row>
    <row r="113" spans="1:8" ht="46.5">
      <c r="A113" s="44">
        <v>6</v>
      </c>
      <c r="B113" s="15" t="s">
        <v>264</v>
      </c>
      <c r="C113" s="49" t="s">
        <v>39</v>
      </c>
      <c r="D113" s="93">
        <v>45740</v>
      </c>
      <c r="E113" s="93">
        <v>45772</v>
      </c>
      <c r="F113" s="56" t="s">
        <v>265</v>
      </c>
      <c r="G113" s="153" t="s">
        <v>70</v>
      </c>
      <c r="H113" s="66" t="s">
        <v>270</v>
      </c>
    </row>
    <row r="114" spans="1:8" ht="36.75" customHeight="1">
      <c r="A114" s="44">
        <v>7</v>
      </c>
      <c r="B114" s="15" t="s">
        <v>266</v>
      </c>
      <c r="C114" s="49" t="s">
        <v>12</v>
      </c>
      <c r="D114" s="93">
        <v>45740</v>
      </c>
      <c r="E114" s="93"/>
      <c r="F114" s="56" t="s">
        <v>267</v>
      </c>
      <c r="G114" s="56" t="s">
        <v>268</v>
      </c>
      <c r="H114" s="42"/>
    </row>
    <row r="115" spans="1:8" s="19" customFormat="1" ht="39.75" customHeight="1">
      <c r="A115" s="44">
        <v>8</v>
      </c>
      <c r="B115" s="53" t="s">
        <v>269</v>
      </c>
      <c r="C115" s="49" t="s">
        <v>12</v>
      </c>
      <c r="D115" s="93">
        <v>45740</v>
      </c>
      <c r="E115" s="93">
        <v>45772</v>
      </c>
      <c r="F115" s="16" t="s">
        <v>271</v>
      </c>
      <c r="G115" s="168"/>
      <c r="H115" s="278" t="s">
        <v>282</v>
      </c>
    </row>
    <row r="116" spans="1:8" s="173" customFormat="1" ht="92.25" customHeight="1">
      <c r="A116" s="169">
        <v>9</v>
      </c>
      <c r="B116" s="170" t="s">
        <v>284</v>
      </c>
      <c r="C116" s="154" t="s">
        <v>12</v>
      </c>
      <c r="D116" s="171"/>
      <c r="E116" s="171"/>
      <c r="F116" s="170" t="s">
        <v>606</v>
      </c>
      <c r="G116" s="168"/>
      <c r="H116" s="278" t="s">
        <v>282</v>
      </c>
    </row>
    <row r="117" spans="1:8" s="160" customFormat="1" ht="23.25" customHeight="1">
      <c r="A117" s="285" t="s">
        <v>13</v>
      </c>
      <c r="B117" s="286" t="s">
        <v>14</v>
      </c>
      <c r="C117" s="287"/>
      <c r="D117" s="308"/>
      <c r="E117" s="308"/>
      <c r="F117" s="289"/>
      <c r="G117" s="289"/>
      <c r="H117" s="290"/>
    </row>
    <row r="118" spans="1:8" s="160" customFormat="1" ht="78" customHeight="1">
      <c r="A118" s="48">
        <v>1</v>
      </c>
      <c r="B118" s="167" t="s">
        <v>277</v>
      </c>
      <c r="C118" s="43" t="s">
        <v>12</v>
      </c>
      <c r="D118" s="93">
        <v>45715</v>
      </c>
      <c r="E118" s="93">
        <v>45743</v>
      </c>
      <c r="F118" s="45" t="s">
        <v>278</v>
      </c>
      <c r="G118" s="16" t="s">
        <v>279</v>
      </c>
      <c r="H118" s="276" t="s">
        <v>270</v>
      </c>
    </row>
    <row r="119" spans="1:8" s="162" customFormat="1" ht="46.5">
      <c r="A119" s="48">
        <v>2</v>
      </c>
      <c r="B119" s="16" t="s">
        <v>283</v>
      </c>
      <c r="C119" s="49" t="s">
        <v>12</v>
      </c>
      <c r="D119" s="93">
        <v>45740</v>
      </c>
      <c r="E119" s="93">
        <v>45766</v>
      </c>
      <c r="F119" s="45" t="s">
        <v>270</v>
      </c>
      <c r="G119" s="15" t="s">
        <v>274</v>
      </c>
      <c r="H119" s="276" t="s">
        <v>270</v>
      </c>
    </row>
    <row r="120" spans="1:8" s="162" customFormat="1" ht="101.25" customHeight="1">
      <c r="A120" s="48">
        <v>4</v>
      </c>
      <c r="B120" s="15" t="s">
        <v>275</v>
      </c>
      <c r="C120" s="49" t="s">
        <v>12</v>
      </c>
      <c r="D120" s="93">
        <v>45729</v>
      </c>
      <c r="E120" s="93">
        <v>45762</v>
      </c>
      <c r="F120" s="11" t="s">
        <v>276</v>
      </c>
      <c r="G120" s="170" t="s">
        <v>606</v>
      </c>
      <c r="H120" s="44" t="s">
        <v>556</v>
      </c>
    </row>
    <row r="121" spans="1:8" s="8" customFormat="1" ht="77.5">
      <c r="A121" s="48">
        <v>5</v>
      </c>
      <c r="B121" s="71" t="s">
        <v>280</v>
      </c>
      <c r="C121" s="49" t="s">
        <v>12</v>
      </c>
      <c r="D121" s="93">
        <v>45734</v>
      </c>
      <c r="E121" s="93">
        <v>45769</v>
      </c>
      <c r="F121" s="56" t="s">
        <v>206</v>
      </c>
      <c r="G121" s="56" t="s">
        <v>207</v>
      </c>
      <c r="H121" s="277" t="s">
        <v>270</v>
      </c>
    </row>
    <row r="122" spans="1:8" ht="55.5" customHeight="1">
      <c r="A122" s="10">
        <v>6</v>
      </c>
      <c r="B122" s="11" t="s">
        <v>285</v>
      </c>
      <c r="C122" s="49" t="s">
        <v>12</v>
      </c>
      <c r="D122" s="93">
        <v>45751</v>
      </c>
      <c r="E122" s="93">
        <v>45751</v>
      </c>
      <c r="F122" s="11" t="s">
        <v>281</v>
      </c>
      <c r="G122" s="17" t="s">
        <v>286</v>
      </c>
      <c r="H122" s="277" t="s">
        <v>270</v>
      </c>
    </row>
    <row r="123" spans="1:8" s="8" customFormat="1" ht="15.5">
      <c r="A123" s="286" t="s">
        <v>174</v>
      </c>
      <c r="B123" s="286" t="s">
        <v>173</v>
      </c>
      <c r="C123" s="254"/>
      <c r="D123" s="255"/>
      <c r="E123" s="255"/>
      <c r="F123" s="295"/>
      <c r="G123" s="256"/>
      <c r="H123" s="296"/>
    </row>
    <row r="124" spans="1:8" s="52" customFormat="1" ht="35.25" customHeight="1">
      <c r="A124" s="104">
        <v>1</v>
      </c>
      <c r="B124" s="206" t="s">
        <v>182</v>
      </c>
      <c r="C124" s="559" t="s">
        <v>588</v>
      </c>
      <c r="D124" s="560"/>
      <c r="E124" s="560"/>
      <c r="F124" s="560"/>
      <c r="G124" s="560"/>
      <c r="H124" s="560"/>
    </row>
    <row r="125" spans="1:8" s="52" customFormat="1" ht="21.75" customHeight="1">
      <c r="A125" s="104">
        <v>2</v>
      </c>
      <c r="B125" s="206" t="s">
        <v>183</v>
      </c>
      <c r="C125" s="529" t="s">
        <v>551</v>
      </c>
      <c r="D125" s="512"/>
      <c r="E125" s="512"/>
      <c r="F125" s="512"/>
      <c r="G125" s="512"/>
      <c r="H125" s="512"/>
    </row>
    <row r="126" spans="1:8" s="40" customFormat="1" ht="15.5">
      <c r="A126" s="110" t="s">
        <v>339</v>
      </c>
      <c r="B126" s="108"/>
      <c r="C126" s="108"/>
      <c r="D126" s="109"/>
      <c r="E126" s="109"/>
      <c r="F126" s="108"/>
      <c r="G126" s="108"/>
      <c r="H126" s="122"/>
    </row>
    <row r="127" spans="1:8" s="40" customFormat="1">
      <c r="A127" s="437" t="s">
        <v>2</v>
      </c>
      <c r="B127" s="523" t="s">
        <v>3</v>
      </c>
      <c r="C127" s="441" t="s">
        <v>4</v>
      </c>
      <c r="D127" s="443" t="s">
        <v>5</v>
      </c>
      <c r="E127" s="443"/>
      <c r="F127" s="437" t="s">
        <v>111</v>
      </c>
      <c r="G127" s="437"/>
      <c r="H127" s="444" t="s">
        <v>66</v>
      </c>
    </row>
    <row r="128" spans="1:8" s="40" customFormat="1">
      <c r="A128" s="438"/>
      <c r="B128" s="524"/>
      <c r="C128" s="442"/>
      <c r="D128" s="123" t="s">
        <v>8</v>
      </c>
      <c r="E128" s="123" t="s">
        <v>9</v>
      </c>
      <c r="F128" s="438"/>
      <c r="G128" s="438"/>
      <c r="H128" s="445"/>
    </row>
    <row r="129" spans="1:12" s="40" customFormat="1" ht="15.5">
      <c r="A129" s="301" t="s">
        <v>10</v>
      </c>
      <c r="B129" s="305" t="s">
        <v>11</v>
      </c>
      <c r="C129" s="306"/>
      <c r="D129" s="307"/>
      <c r="E129" s="307"/>
      <c r="F129" s="539"/>
      <c r="G129" s="539"/>
      <c r="H129" s="297"/>
    </row>
    <row r="130" spans="1:12" s="160" customFormat="1" ht="31">
      <c r="A130" s="177">
        <v>1</v>
      </c>
      <c r="B130" s="140" t="s">
        <v>287</v>
      </c>
      <c r="C130" s="146" t="s">
        <v>12</v>
      </c>
      <c r="D130" s="178">
        <v>45767</v>
      </c>
      <c r="E130" s="178">
        <v>45797</v>
      </c>
      <c r="F130" s="542" t="s">
        <v>288</v>
      </c>
      <c r="G130" s="543"/>
      <c r="H130" s="175"/>
      <c r="L130" s="176"/>
    </row>
    <row r="131" spans="1:12" s="160" customFormat="1" ht="31">
      <c r="A131" s="177">
        <v>2</v>
      </c>
      <c r="B131" s="140" t="s">
        <v>266</v>
      </c>
      <c r="C131" s="146" t="s">
        <v>12</v>
      </c>
      <c r="D131" s="178">
        <v>45771</v>
      </c>
      <c r="E131" s="178">
        <v>45797</v>
      </c>
      <c r="F131" s="542" t="s">
        <v>267</v>
      </c>
      <c r="G131" s="543"/>
      <c r="H131" s="175"/>
    </row>
    <row r="132" spans="1:12" s="160" customFormat="1" ht="31">
      <c r="A132" s="177">
        <v>3</v>
      </c>
      <c r="B132" s="140" t="s">
        <v>289</v>
      </c>
      <c r="C132" s="146" t="s">
        <v>12</v>
      </c>
      <c r="D132" s="178">
        <v>45767</v>
      </c>
      <c r="E132" s="178">
        <v>45797</v>
      </c>
      <c r="F132" s="542" t="s">
        <v>290</v>
      </c>
      <c r="G132" s="543"/>
      <c r="H132" s="175"/>
    </row>
    <row r="133" spans="1:12" s="19" customFormat="1" ht="39.75" customHeight="1">
      <c r="A133" s="177">
        <v>4</v>
      </c>
      <c r="B133" s="138" t="s">
        <v>269</v>
      </c>
      <c r="C133" s="146" t="s">
        <v>12</v>
      </c>
      <c r="D133" s="178">
        <v>45767</v>
      </c>
      <c r="E133" s="178">
        <v>45783</v>
      </c>
      <c r="F133" s="542" t="s">
        <v>293</v>
      </c>
      <c r="G133" s="543"/>
      <c r="H133" s="166"/>
    </row>
    <row r="134" spans="1:12" s="160" customFormat="1" ht="15.5">
      <c r="A134" s="177">
        <v>5</v>
      </c>
      <c r="B134" s="140" t="s">
        <v>291</v>
      </c>
      <c r="C134" s="146" t="s">
        <v>12</v>
      </c>
      <c r="D134" s="178">
        <v>45767</v>
      </c>
      <c r="E134" s="178">
        <v>45797</v>
      </c>
      <c r="F134" s="542" t="s">
        <v>292</v>
      </c>
      <c r="G134" s="543"/>
      <c r="H134" s="175"/>
    </row>
    <row r="135" spans="1:12" s="173" customFormat="1" ht="87" customHeight="1">
      <c r="A135" s="44">
        <v>6</v>
      </c>
      <c r="B135" s="16" t="s">
        <v>284</v>
      </c>
      <c r="C135" s="49" t="s">
        <v>12</v>
      </c>
      <c r="D135" s="93">
        <v>45767</v>
      </c>
      <c r="E135" s="93">
        <v>45787</v>
      </c>
      <c r="F135" s="422" t="s">
        <v>297</v>
      </c>
      <c r="G135" s="422"/>
      <c r="H135" s="172"/>
    </row>
    <row r="136" spans="1:12" ht="15.5">
      <c r="A136" s="301" t="s">
        <v>13</v>
      </c>
      <c r="B136" s="302" t="s">
        <v>14</v>
      </c>
      <c r="C136" s="303"/>
      <c r="D136" s="255"/>
      <c r="E136" s="255"/>
      <c r="F136" s="539"/>
      <c r="G136" s="539"/>
      <c r="H136" s="304"/>
    </row>
    <row r="137" spans="1:12" s="70" customFormat="1" ht="77.5">
      <c r="A137" s="44">
        <v>1</v>
      </c>
      <c r="B137" s="71" t="s">
        <v>212</v>
      </c>
      <c r="C137" s="44" t="s">
        <v>39</v>
      </c>
      <c r="D137" s="93">
        <v>45769</v>
      </c>
      <c r="E137" s="93">
        <v>45787</v>
      </c>
      <c r="F137" s="436" t="s">
        <v>219</v>
      </c>
      <c r="G137" s="423"/>
      <c r="H137" s="182"/>
    </row>
    <row r="138" spans="1:12" s="160" customFormat="1" ht="46.5">
      <c r="A138" s="177">
        <v>2</v>
      </c>
      <c r="B138" s="141" t="s">
        <v>295</v>
      </c>
      <c r="C138" s="146" t="s">
        <v>12</v>
      </c>
      <c r="D138" s="93">
        <v>45766</v>
      </c>
      <c r="E138" s="93">
        <v>45787</v>
      </c>
      <c r="F138" s="459" t="s">
        <v>296</v>
      </c>
      <c r="G138" s="459"/>
      <c r="H138" s="161"/>
    </row>
    <row r="139" spans="1:12" s="160" customFormat="1" ht="46.5">
      <c r="A139" s="177">
        <v>3</v>
      </c>
      <c r="B139" s="140" t="s">
        <v>294</v>
      </c>
      <c r="C139" s="146" t="s">
        <v>12</v>
      </c>
      <c r="D139" s="93">
        <v>45762</v>
      </c>
      <c r="E139" s="93"/>
      <c r="F139" s="459"/>
      <c r="G139" s="492"/>
      <c r="H139" s="174"/>
    </row>
    <row r="140" spans="1:12" ht="15.5">
      <c r="A140" s="283"/>
      <c r="B140" s="284"/>
      <c r="C140" s="179"/>
      <c r="D140" s="180"/>
      <c r="E140" s="180"/>
      <c r="F140" s="181"/>
      <c r="G140" s="181"/>
      <c r="H140" s="128"/>
    </row>
    <row r="141" spans="1:12" ht="20.25" customHeight="1">
      <c r="A141" s="550" t="s">
        <v>35</v>
      </c>
      <c r="B141" s="551"/>
      <c r="C141" s="551"/>
      <c r="D141" s="551"/>
      <c r="E141" s="551"/>
      <c r="F141" s="551"/>
      <c r="G141" s="551"/>
      <c r="H141" s="552"/>
    </row>
    <row r="142" spans="1:12" ht="15">
      <c r="A142" s="478" t="s">
        <v>178</v>
      </c>
      <c r="B142" s="478"/>
      <c r="C142" s="478"/>
      <c r="D142" s="478"/>
      <c r="E142" s="478"/>
      <c r="F142" s="478"/>
      <c r="G142" s="478"/>
      <c r="H142" s="478"/>
    </row>
    <row r="143" spans="1:12" s="34" customFormat="1" ht="15.5">
      <c r="A143" s="449" t="s">
        <v>2</v>
      </c>
      <c r="B143" s="540" t="s">
        <v>3</v>
      </c>
      <c r="C143" s="449" t="s">
        <v>4</v>
      </c>
      <c r="D143" s="453" t="s">
        <v>5</v>
      </c>
      <c r="E143" s="454"/>
      <c r="F143" s="540" t="s">
        <v>6</v>
      </c>
      <c r="G143" s="449" t="s">
        <v>7</v>
      </c>
      <c r="H143" s="449" t="s">
        <v>600</v>
      </c>
    </row>
    <row r="144" spans="1:12" s="34" customFormat="1" ht="15.5">
      <c r="A144" s="450"/>
      <c r="B144" s="541"/>
      <c r="C144" s="450"/>
      <c r="D144" s="86" t="s">
        <v>8</v>
      </c>
      <c r="E144" s="86" t="s">
        <v>9</v>
      </c>
      <c r="F144" s="541"/>
      <c r="G144" s="450"/>
      <c r="H144" s="450"/>
    </row>
    <row r="145" spans="1:8" s="40" customFormat="1" ht="15.5">
      <c r="A145" s="285" t="s">
        <v>10</v>
      </c>
      <c r="B145" s="286" t="s">
        <v>11</v>
      </c>
      <c r="C145" s="297"/>
      <c r="D145" s="298"/>
      <c r="E145" s="298"/>
      <c r="F145" s="297"/>
      <c r="G145" s="299"/>
      <c r="H145" s="300"/>
    </row>
    <row r="146" spans="1:8" s="40" customFormat="1" ht="66.75" customHeight="1">
      <c r="A146" s="41">
        <v>1</v>
      </c>
      <c r="B146" s="42" t="s">
        <v>67</v>
      </c>
      <c r="C146" s="43" t="s">
        <v>12</v>
      </c>
      <c r="D146" s="87" t="s">
        <v>68</v>
      </c>
      <c r="E146" s="87" t="s">
        <v>68</v>
      </c>
      <c r="F146" s="45" t="s">
        <v>69</v>
      </c>
      <c r="G146" s="46" t="s">
        <v>70</v>
      </c>
      <c r="H146" s="48" t="s">
        <v>84</v>
      </c>
    </row>
    <row r="147" spans="1:8" s="40" customFormat="1" ht="46.5">
      <c r="A147" s="41">
        <v>2</v>
      </c>
      <c r="B147" s="42" t="s">
        <v>71</v>
      </c>
      <c r="C147" s="43" t="s">
        <v>12</v>
      </c>
      <c r="D147" s="87" t="s">
        <v>68</v>
      </c>
      <c r="E147" s="87" t="s">
        <v>68</v>
      </c>
      <c r="F147" s="45" t="s">
        <v>72</v>
      </c>
      <c r="G147" s="46" t="s">
        <v>70</v>
      </c>
      <c r="H147" s="48" t="s">
        <v>84</v>
      </c>
    </row>
    <row r="148" spans="1:8" s="40" customFormat="1" ht="46.5" customHeight="1">
      <c r="A148" s="41">
        <v>3</v>
      </c>
      <c r="B148" s="47" t="s">
        <v>73</v>
      </c>
      <c r="C148" s="189" t="s">
        <v>39</v>
      </c>
      <c r="D148" s="553" t="s">
        <v>343</v>
      </c>
      <c r="E148" s="554"/>
      <c r="F148" s="190" t="s">
        <v>74</v>
      </c>
      <c r="G148" s="46"/>
      <c r="H148" s="48" t="s">
        <v>393</v>
      </c>
    </row>
    <row r="149" spans="1:8" s="40" customFormat="1" ht="31">
      <c r="A149" s="48" t="s">
        <v>75</v>
      </c>
      <c r="B149" s="16" t="s">
        <v>298</v>
      </c>
      <c r="C149" s="43"/>
      <c r="D149" s="183">
        <v>45740</v>
      </c>
      <c r="E149" s="183">
        <v>45741</v>
      </c>
      <c r="F149" s="45" t="s">
        <v>299</v>
      </c>
      <c r="G149" s="50" t="s">
        <v>70</v>
      </c>
      <c r="H149" s="39"/>
    </row>
    <row r="150" spans="1:8" s="40" customFormat="1" ht="21.75" customHeight="1">
      <c r="A150" s="44" t="s">
        <v>78</v>
      </c>
      <c r="B150" s="15" t="s">
        <v>300</v>
      </c>
      <c r="C150" s="43"/>
      <c r="D150" s="183">
        <v>45741</v>
      </c>
      <c r="E150" s="183">
        <v>45741</v>
      </c>
      <c r="F150" s="45" t="s">
        <v>301</v>
      </c>
      <c r="G150" s="50" t="s">
        <v>70</v>
      </c>
      <c r="H150" s="39"/>
    </row>
    <row r="151" spans="1:8" s="40" customFormat="1" ht="21.75" customHeight="1">
      <c r="A151" s="48" t="s">
        <v>82</v>
      </c>
      <c r="B151" s="53" t="s">
        <v>302</v>
      </c>
      <c r="C151" s="43"/>
      <c r="D151" s="184">
        <v>45743</v>
      </c>
      <c r="E151" s="184">
        <v>45743</v>
      </c>
      <c r="F151" s="54" t="s">
        <v>303</v>
      </c>
      <c r="G151" s="50" t="s">
        <v>70</v>
      </c>
      <c r="H151" s="39"/>
    </row>
    <row r="152" spans="1:8" s="40" customFormat="1" ht="15.5">
      <c r="A152" s="44" t="s">
        <v>85</v>
      </c>
      <c r="B152" s="15" t="s">
        <v>304</v>
      </c>
      <c r="C152" s="49"/>
      <c r="D152" s="183">
        <v>45743</v>
      </c>
      <c r="E152" s="183">
        <v>45743</v>
      </c>
      <c r="F152" s="56" t="s">
        <v>305</v>
      </c>
      <c r="G152" s="42" t="s">
        <v>70</v>
      </c>
      <c r="H152" s="39"/>
    </row>
    <row r="153" spans="1:8" s="40" customFormat="1" ht="15.5">
      <c r="A153" s="48" t="s">
        <v>88</v>
      </c>
      <c r="B153" s="53" t="s">
        <v>306</v>
      </c>
      <c r="C153" s="49"/>
      <c r="D153" s="183">
        <v>45743</v>
      </c>
      <c r="E153" s="183">
        <v>45743</v>
      </c>
      <c r="F153" s="56" t="s">
        <v>307</v>
      </c>
      <c r="G153" s="42" t="s">
        <v>70</v>
      </c>
      <c r="H153" s="39"/>
    </row>
    <row r="154" spans="1:8" s="40" customFormat="1" ht="15.5">
      <c r="A154" s="44" t="s">
        <v>92</v>
      </c>
      <c r="B154" s="53" t="s">
        <v>308</v>
      </c>
      <c r="C154" s="43"/>
      <c r="D154" s="184">
        <v>45748</v>
      </c>
      <c r="E154" s="184">
        <v>45748</v>
      </c>
      <c r="F154" s="54" t="s">
        <v>309</v>
      </c>
      <c r="G154" s="42" t="s">
        <v>70</v>
      </c>
      <c r="H154" s="39"/>
    </row>
    <row r="155" spans="1:8" s="40" customFormat="1" ht="31">
      <c r="A155" s="48" t="s">
        <v>94</v>
      </c>
      <c r="B155" s="53" t="s">
        <v>310</v>
      </c>
      <c r="C155" s="43"/>
      <c r="D155" s="184">
        <v>45752</v>
      </c>
      <c r="E155" s="184">
        <v>45752</v>
      </c>
      <c r="F155" s="54" t="s">
        <v>311</v>
      </c>
      <c r="G155" s="50" t="s">
        <v>70</v>
      </c>
      <c r="H155" s="39"/>
    </row>
    <row r="156" spans="1:8" s="40" customFormat="1" ht="46.5">
      <c r="A156" s="44" t="s">
        <v>96</v>
      </c>
      <c r="B156" s="15" t="s">
        <v>312</v>
      </c>
      <c r="C156" s="49"/>
      <c r="D156" s="183">
        <v>45757</v>
      </c>
      <c r="E156" s="183">
        <v>45757</v>
      </c>
      <c r="F156" s="54" t="s">
        <v>313</v>
      </c>
      <c r="G156" s="50" t="s">
        <v>70</v>
      </c>
      <c r="H156" s="39"/>
    </row>
    <row r="157" spans="1:8" s="40" customFormat="1" ht="31">
      <c r="A157" s="44" t="s">
        <v>100</v>
      </c>
      <c r="B157" s="15" t="s">
        <v>314</v>
      </c>
      <c r="C157" s="49"/>
      <c r="D157" s="183">
        <v>45757</v>
      </c>
      <c r="E157" s="183">
        <v>45757</v>
      </c>
      <c r="F157" s="54" t="s">
        <v>315</v>
      </c>
      <c r="G157" s="50" t="s">
        <v>70</v>
      </c>
      <c r="H157" s="39"/>
    </row>
    <row r="158" spans="1:8" s="52" customFormat="1" ht="31">
      <c r="A158" s="57" t="s">
        <v>316</v>
      </c>
      <c r="B158" s="53" t="s">
        <v>317</v>
      </c>
      <c r="C158" s="49"/>
      <c r="D158" s="183">
        <v>45757</v>
      </c>
      <c r="E158" s="183">
        <v>45757</v>
      </c>
      <c r="F158" s="54" t="s">
        <v>318</v>
      </c>
      <c r="G158" s="50" t="s">
        <v>70</v>
      </c>
      <c r="H158" s="51"/>
    </row>
    <row r="159" spans="1:8" s="52" customFormat="1" ht="31">
      <c r="A159" s="57" t="s">
        <v>319</v>
      </c>
      <c r="B159" s="53" t="s">
        <v>320</v>
      </c>
      <c r="C159" s="49"/>
      <c r="D159" s="183">
        <v>45757</v>
      </c>
      <c r="E159" s="183">
        <v>45757</v>
      </c>
      <c r="F159" s="54" t="s">
        <v>321</v>
      </c>
      <c r="G159" s="50" t="s">
        <v>70</v>
      </c>
      <c r="H159" s="51"/>
    </row>
    <row r="160" spans="1:8" s="52" customFormat="1" ht="15.5">
      <c r="A160" s="57" t="s">
        <v>322</v>
      </c>
      <c r="B160" s="53" t="s">
        <v>323</v>
      </c>
      <c r="C160" s="49"/>
      <c r="D160" s="183">
        <v>45757</v>
      </c>
      <c r="E160" s="183">
        <v>45757</v>
      </c>
      <c r="F160" s="54" t="s">
        <v>324</v>
      </c>
      <c r="G160" s="50" t="s">
        <v>70</v>
      </c>
      <c r="H160" s="51"/>
    </row>
    <row r="161" spans="1:8" s="52" customFormat="1" ht="31">
      <c r="A161" s="48" t="s">
        <v>325</v>
      </c>
      <c r="B161" s="53" t="s">
        <v>326</v>
      </c>
      <c r="C161" s="49"/>
      <c r="D161" s="184">
        <v>45757</v>
      </c>
      <c r="E161" s="184">
        <v>45758</v>
      </c>
      <c r="F161" s="54" t="s">
        <v>327</v>
      </c>
      <c r="G161" s="50" t="s">
        <v>70</v>
      </c>
      <c r="H161" s="51"/>
    </row>
    <row r="162" spans="1:8" s="52" customFormat="1" ht="46.5">
      <c r="A162" s="44" t="s">
        <v>328</v>
      </c>
      <c r="B162" s="53" t="s">
        <v>329</v>
      </c>
      <c r="C162" s="49"/>
      <c r="D162" s="184">
        <v>45763</v>
      </c>
      <c r="E162" s="184">
        <v>45763</v>
      </c>
      <c r="F162" s="54" t="s">
        <v>330</v>
      </c>
      <c r="G162" s="50" t="s">
        <v>70</v>
      </c>
      <c r="H162" s="51"/>
    </row>
    <row r="163" spans="1:8" s="52" customFormat="1" ht="15.5">
      <c r="A163" s="44" t="s">
        <v>331</v>
      </c>
      <c r="B163" s="15" t="s">
        <v>332</v>
      </c>
      <c r="C163" s="49"/>
      <c r="D163" s="183">
        <v>45763</v>
      </c>
      <c r="E163" s="183">
        <v>45763</v>
      </c>
      <c r="F163" s="42" t="s">
        <v>333</v>
      </c>
      <c r="G163" s="50" t="s">
        <v>70</v>
      </c>
      <c r="H163" s="51"/>
    </row>
    <row r="164" spans="1:8" s="52" customFormat="1" ht="42.75" customHeight="1">
      <c r="A164" s="44" t="s">
        <v>334</v>
      </c>
      <c r="B164" s="15" t="s">
        <v>335</v>
      </c>
      <c r="C164" s="49"/>
      <c r="D164" s="183">
        <v>45765</v>
      </c>
      <c r="E164" s="183">
        <v>45765</v>
      </c>
      <c r="F164" s="42" t="s">
        <v>136</v>
      </c>
      <c r="G164" s="50" t="s">
        <v>70</v>
      </c>
      <c r="H164" s="51"/>
    </row>
    <row r="165" spans="1:8" s="40" customFormat="1" ht="23.25" customHeight="1">
      <c r="A165" s="285" t="s">
        <v>13</v>
      </c>
      <c r="B165" s="286" t="s">
        <v>14</v>
      </c>
      <c r="C165" s="287"/>
      <c r="D165" s="288"/>
      <c r="E165" s="288"/>
      <c r="F165" s="289"/>
      <c r="G165" s="289"/>
      <c r="H165" s="290"/>
    </row>
    <row r="166" spans="1:8" s="40" customFormat="1" ht="262.5" customHeight="1">
      <c r="A166" s="44">
        <v>1</v>
      </c>
      <c r="B166" s="53" t="s">
        <v>105</v>
      </c>
      <c r="C166" s="43" t="s">
        <v>12</v>
      </c>
      <c r="D166" s="184">
        <v>45720</v>
      </c>
      <c r="E166" s="184">
        <v>45764</v>
      </c>
      <c r="F166" s="45" t="s">
        <v>336</v>
      </c>
      <c r="G166" s="56" t="s">
        <v>338</v>
      </c>
      <c r="H166" s="44" t="s">
        <v>84</v>
      </c>
    </row>
    <row r="167" spans="1:8" s="52" customFormat="1" ht="62">
      <c r="A167" s="44">
        <v>2</v>
      </c>
      <c r="B167" s="53" t="s">
        <v>119</v>
      </c>
      <c r="C167" s="43" t="s">
        <v>12</v>
      </c>
      <c r="D167" s="184">
        <v>45764</v>
      </c>
      <c r="E167" s="184">
        <v>45767</v>
      </c>
      <c r="F167" s="45" t="s">
        <v>337</v>
      </c>
      <c r="G167" s="50" t="s">
        <v>70</v>
      </c>
      <c r="H167" s="44" t="s">
        <v>84</v>
      </c>
    </row>
    <row r="168" spans="1:8" s="70" customFormat="1" ht="55.5" customHeight="1">
      <c r="A168" s="44">
        <v>3</v>
      </c>
      <c r="B168" s="185" t="s">
        <v>164</v>
      </c>
      <c r="C168" s="156" t="s">
        <v>39</v>
      </c>
      <c r="D168" s="186">
        <v>45748</v>
      </c>
      <c r="E168" s="187"/>
      <c r="F168" s="188" t="s">
        <v>165</v>
      </c>
      <c r="G168" s="188" t="s">
        <v>602</v>
      </c>
      <c r="H168" s="278" t="s">
        <v>601</v>
      </c>
    </row>
    <row r="169" spans="1:8" s="70" customFormat="1" ht="108" customHeight="1">
      <c r="A169" s="44">
        <v>4</v>
      </c>
      <c r="B169" s="185" t="s">
        <v>166</v>
      </c>
      <c r="C169" s="147" t="s">
        <v>12</v>
      </c>
      <c r="D169" s="186">
        <v>45740</v>
      </c>
      <c r="E169" s="187"/>
      <c r="F169" s="188" t="s">
        <v>167</v>
      </c>
      <c r="G169" s="188" t="s">
        <v>602</v>
      </c>
      <c r="H169" s="278" t="s">
        <v>601</v>
      </c>
    </row>
    <row r="170" spans="1:8" s="8" customFormat="1" ht="15.5">
      <c r="A170" s="286" t="s">
        <v>174</v>
      </c>
      <c r="B170" s="286" t="s">
        <v>173</v>
      </c>
      <c r="C170" s="254"/>
      <c r="D170" s="294"/>
      <c r="E170" s="294"/>
      <c r="F170" s="295"/>
      <c r="G170" s="256"/>
      <c r="H170" s="296"/>
    </row>
    <row r="171" spans="1:8" s="8" customFormat="1" ht="15.75" customHeight="1">
      <c r="A171" s="104">
        <v>1</v>
      </c>
      <c r="B171" s="36" t="s">
        <v>182</v>
      </c>
      <c r="C171" s="555" t="s">
        <v>186</v>
      </c>
      <c r="D171" s="556"/>
      <c r="E171" s="556"/>
      <c r="F171" s="556"/>
      <c r="G171" s="556"/>
      <c r="H171" s="557"/>
    </row>
    <row r="172" spans="1:8" s="8" customFormat="1" ht="19.5" customHeight="1">
      <c r="A172" s="104">
        <v>2</v>
      </c>
      <c r="B172" s="36" t="s">
        <v>183</v>
      </c>
      <c r="C172" s="488" t="s">
        <v>184</v>
      </c>
      <c r="D172" s="536"/>
      <c r="E172" s="536"/>
      <c r="F172" s="536"/>
      <c r="G172" s="536"/>
      <c r="H172" s="489"/>
    </row>
    <row r="173" spans="1:8" s="40" customFormat="1" ht="15.5">
      <c r="A173" s="110" t="s">
        <v>179</v>
      </c>
      <c r="B173" s="108"/>
      <c r="C173" s="108"/>
      <c r="D173" s="109"/>
      <c r="E173" s="109"/>
      <c r="F173" s="108"/>
      <c r="G173" s="108"/>
      <c r="H173" s="122"/>
    </row>
    <row r="174" spans="1:8" s="40" customFormat="1">
      <c r="A174" s="437" t="s">
        <v>2</v>
      </c>
      <c r="B174" s="523" t="s">
        <v>3</v>
      </c>
      <c r="C174" s="441" t="s">
        <v>4</v>
      </c>
      <c r="D174" s="443" t="s">
        <v>5</v>
      </c>
      <c r="E174" s="443"/>
      <c r="F174" s="437" t="s">
        <v>111</v>
      </c>
      <c r="G174" s="437"/>
      <c r="H174" s="444" t="s">
        <v>66</v>
      </c>
    </row>
    <row r="175" spans="1:8" s="40" customFormat="1">
      <c r="A175" s="438"/>
      <c r="B175" s="524"/>
      <c r="C175" s="442"/>
      <c r="D175" s="123" t="s">
        <v>8</v>
      </c>
      <c r="E175" s="123" t="s">
        <v>9</v>
      </c>
      <c r="F175" s="438"/>
      <c r="G175" s="438"/>
      <c r="H175" s="445"/>
    </row>
    <row r="176" spans="1:8" s="40" customFormat="1" ht="15.5">
      <c r="A176" s="35" t="s">
        <v>10</v>
      </c>
      <c r="B176" s="36" t="s">
        <v>11</v>
      </c>
      <c r="C176" s="44"/>
      <c r="D176" s="79"/>
      <c r="E176" s="79"/>
      <c r="F176" s="426" t="s">
        <v>112</v>
      </c>
      <c r="G176" s="426"/>
      <c r="H176" s="37"/>
    </row>
    <row r="177" spans="1:10" s="40" customFormat="1" ht="15.5">
      <c r="A177" s="48">
        <v>1</v>
      </c>
      <c r="B177" s="42" t="s">
        <v>113</v>
      </c>
      <c r="C177" s="44" t="s">
        <v>12</v>
      </c>
      <c r="D177" s="87" t="s">
        <v>68</v>
      </c>
      <c r="E177" s="87" t="s">
        <v>68</v>
      </c>
      <c r="F177" s="428"/>
      <c r="G177" s="429"/>
      <c r="H177" s="37"/>
    </row>
    <row r="178" spans="1:10" s="40" customFormat="1" ht="15.5">
      <c r="A178" s="48">
        <v>2</v>
      </c>
      <c r="B178" s="42" t="s">
        <v>114</v>
      </c>
      <c r="C178" s="44" t="s">
        <v>12</v>
      </c>
      <c r="D178" s="87" t="s">
        <v>68</v>
      </c>
      <c r="E178" s="87" t="s">
        <v>68</v>
      </c>
      <c r="F178" s="428"/>
      <c r="G178" s="429"/>
      <c r="H178" s="37"/>
    </row>
    <row r="179" spans="1:10" s="40" customFormat="1" ht="15.5">
      <c r="A179" s="48">
        <v>3</v>
      </c>
      <c r="B179" s="42" t="s">
        <v>73</v>
      </c>
      <c r="C179" s="44" t="s">
        <v>12</v>
      </c>
      <c r="D179" s="205" t="s">
        <v>350</v>
      </c>
      <c r="E179" s="205" t="s">
        <v>350</v>
      </c>
      <c r="F179" s="428"/>
      <c r="G179" s="429"/>
      <c r="H179" s="37"/>
    </row>
    <row r="180" spans="1:10" s="40" customFormat="1" ht="39" customHeight="1">
      <c r="A180" s="44">
        <v>4</v>
      </c>
      <c r="B180" s="42" t="s">
        <v>115</v>
      </c>
      <c r="C180" s="44" t="s">
        <v>12</v>
      </c>
      <c r="D180" s="79"/>
      <c r="E180" s="79"/>
      <c r="F180" s="544"/>
      <c r="G180" s="544"/>
      <c r="H180" s="37"/>
    </row>
    <row r="181" spans="1:10" s="40" customFormat="1" ht="21.75" customHeight="1">
      <c r="A181" s="285" t="s">
        <v>13</v>
      </c>
      <c r="B181" s="291" t="s">
        <v>14</v>
      </c>
      <c r="C181" s="292"/>
      <c r="D181" s="293"/>
      <c r="E181" s="293"/>
      <c r="F181" s="506"/>
      <c r="G181" s="506"/>
      <c r="H181" s="506"/>
    </row>
    <row r="182" spans="1:10" s="40" customFormat="1" ht="55.5" customHeight="1">
      <c r="A182" s="44">
        <v>1</v>
      </c>
      <c r="B182" s="73" t="s">
        <v>164</v>
      </c>
      <c r="C182" s="43" t="s">
        <v>39</v>
      </c>
      <c r="D182" s="93"/>
      <c r="E182" s="93"/>
      <c r="F182" s="424" t="s">
        <v>165</v>
      </c>
      <c r="G182" s="425"/>
      <c r="H182" s="51"/>
    </row>
    <row r="183" spans="1:10" s="40" customFormat="1" ht="108" customHeight="1">
      <c r="A183" s="44">
        <v>2</v>
      </c>
      <c r="B183" s="73" t="s">
        <v>166</v>
      </c>
      <c r="C183" s="44" t="s">
        <v>12</v>
      </c>
      <c r="D183" s="93"/>
      <c r="E183" s="93"/>
      <c r="F183" s="424" t="s">
        <v>167</v>
      </c>
      <c r="G183" s="425"/>
      <c r="H183" s="98"/>
    </row>
    <row r="184" spans="1:10" s="40" customFormat="1" ht="63" customHeight="1">
      <c r="A184" s="44">
        <v>3</v>
      </c>
      <c r="B184" s="73" t="s">
        <v>520</v>
      </c>
      <c r="C184" s="44" t="s">
        <v>39</v>
      </c>
      <c r="D184" s="93">
        <v>45776</v>
      </c>
      <c r="E184" s="93">
        <v>45792</v>
      </c>
      <c r="F184" s="422"/>
      <c r="G184" s="423"/>
      <c r="H184" s="98"/>
    </row>
    <row r="185" spans="1:10" s="52" customFormat="1" ht="62.25" customHeight="1">
      <c r="A185" s="48">
        <v>2</v>
      </c>
      <c r="B185" s="15" t="s">
        <v>521</v>
      </c>
      <c r="C185" s="43" t="s">
        <v>12</v>
      </c>
      <c r="D185" s="93">
        <v>45783</v>
      </c>
      <c r="E185" s="93">
        <v>45792</v>
      </c>
      <c r="F185" s="422"/>
      <c r="G185" s="423"/>
      <c r="H185" s="51"/>
    </row>
    <row r="186" spans="1:10" s="52" customFormat="1" ht="31">
      <c r="A186" s="44">
        <v>3</v>
      </c>
      <c r="B186" s="53" t="s">
        <v>523</v>
      </c>
      <c r="C186" s="43" t="s">
        <v>12</v>
      </c>
      <c r="D186" s="93">
        <v>45776</v>
      </c>
      <c r="E186" s="93">
        <v>45784</v>
      </c>
      <c r="F186" s="422"/>
      <c r="G186" s="423"/>
      <c r="H186" s="51"/>
    </row>
    <row r="187" spans="1:10" s="40" customFormat="1" ht="15.5">
      <c r="A187" s="147"/>
      <c r="B187" s="185"/>
      <c r="C187" s="44"/>
      <c r="D187" s="93"/>
      <c r="E187" s="93"/>
      <c r="F187" s="422"/>
      <c r="G187" s="423"/>
      <c r="H187" s="98"/>
    </row>
    <row r="188" spans="1:10" ht="20.25" customHeight="1">
      <c r="A188" s="3"/>
      <c r="B188" s="2"/>
      <c r="C188" s="2"/>
      <c r="D188" s="25"/>
      <c r="E188" s="25"/>
      <c r="F188" s="2"/>
      <c r="G188" s="2"/>
      <c r="H188" s="2"/>
    </row>
    <row r="189" spans="1:10" s="40" customFormat="1" ht="17.25" customHeight="1">
      <c r="B189" s="237" t="s">
        <v>351</v>
      </c>
      <c r="C189" s="236"/>
      <c r="D189" s="220"/>
      <c r="E189" s="220"/>
      <c r="F189" s="237"/>
      <c r="G189" s="237"/>
      <c r="H189" s="235"/>
      <c r="I189" s="236"/>
      <c r="J189" s="236"/>
    </row>
    <row r="190" spans="1:10" s="40" customFormat="1" ht="22.5" customHeight="1">
      <c r="B190" s="247" t="s">
        <v>589</v>
      </c>
      <c r="C190" s="271"/>
      <c r="D190" s="271"/>
      <c r="E190" s="220"/>
      <c r="F190" s="247" t="s">
        <v>590</v>
      </c>
      <c r="G190" s="247" t="s">
        <v>594</v>
      </c>
      <c r="H190" s="235"/>
      <c r="I190" s="236"/>
      <c r="J190" s="236"/>
    </row>
    <row r="191" spans="1:10" s="40" customFormat="1" ht="26.25" customHeight="1">
      <c r="B191" s="236"/>
      <c r="C191" s="236"/>
      <c r="D191" s="220"/>
      <c r="E191" s="220"/>
      <c r="F191" s="236"/>
      <c r="G191" s="272" t="s">
        <v>593</v>
      </c>
      <c r="H191" s="235"/>
      <c r="I191" s="236"/>
      <c r="J191" s="236"/>
    </row>
    <row r="192" spans="1:10" s="40" customFormat="1" ht="16.5">
      <c r="B192" s="236"/>
      <c r="C192" s="236"/>
      <c r="D192" s="220"/>
      <c r="E192" s="220"/>
      <c r="F192" s="236"/>
      <c r="G192" s="272"/>
      <c r="H192" s="235"/>
      <c r="I192" s="236"/>
      <c r="J192" s="236"/>
    </row>
    <row r="193" spans="2:10" s="40" customFormat="1" ht="30" customHeight="1">
      <c r="B193" s="236"/>
      <c r="C193" s="236"/>
      <c r="D193" s="220"/>
      <c r="E193" s="220"/>
      <c r="F193" s="236"/>
      <c r="G193" s="273" t="s">
        <v>591</v>
      </c>
      <c r="H193" s="235"/>
      <c r="I193" s="236"/>
      <c r="J193" s="236"/>
    </row>
    <row r="194" spans="2:10" s="40" customFormat="1" ht="16.5">
      <c r="B194" s="247" t="s">
        <v>28</v>
      </c>
      <c r="C194" s="247"/>
      <c r="D194" s="247"/>
      <c r="E194" s="220"/>
      <c r="F194" s="246" t="s">
        <v>17</v>
      </c>
      <c r="G194" s="236" t="s">
        <v>592</v>
      </c>
      <c r="H194" s="235"/>
      <c r="I194" s="236"/>
      <c r="J194" s="236"/>
    </row>
    <row r="195" spans="2:10" ht="16.5">
      <c r="B195" s="23"/>
      <c r="C195" s="23"/>
      <c r="D195" s="91"/>
      <c r="E195" s="91"/>
      <c r="F195" s="23"/>
      <c r="G195" s="23"/>
      <c r="H195" s="23"/>
      <c r="I195" s="23"/>
      <c r="J195" s="23"/>
    </row>
    <row r="196" spans="2:10" ht="16.5">
      <c r="B196" s="23"/>
      <c r="C196" s="23"/>
      <c r="D196" s="91"/>
      <c r="E196" s="91"/>
      <c r="F196" s="23"/>
      <c r="G196" s="23"/>
      <c r="H196" s="23"/>
      <c r="I196" s="23"/>
      <c r="J196" s="23"/>
    </row>
    <row r="197" spans="2:10" ht="16.5">
      <c r="B197" s="23"/>
      <c r="C197" s="23"/>
      <c r="D197" s="91"/>
      <c r="E197" s="91"/>
      <c r="F197" s="23"/>
      <c r="G197" s="23"/>
      <c r="H197" s="23"/>
      <c r="I197" s="23"/>
      <c r="J197" s="23"/>
    </row>
    <row r="198" spans="2:10" ht="16.5">
      <c r="B198" s="23"/>
      <c r="C198" s="23"/>
      <c r="D198" s="91"/>
      <c r="E198" s="91"/>
      <c r="F198" s="23"/>
      <c r="G198" s="23"/>
      <c r="H198" s="23"/>
      <c r="I198" s="23"/>
      <c r="J198" s="23"/>
    </row>
    <row r="199" spans="2:10" ht="16.5">
      <c r="B199" s="23"/>
      <c r="C199" s="23"/>
      <c r="D199" s="91"/>
      <c r="E199" s="91"/>
      <c r="F199" s="23"/>
      <c r="G199" s="23"/>
      <c r="H199" s="23"/>
      <c r="I199" s="23"/>
      <c r="J199" s="23"/>
    </row>
  </sheetData>
  <mergeCells count="123">
    <mergeCell ref="F187:G187"/>
    <mergeCell ref="F182:G182"/>
    <mergeCell ref="F183:G183"/>
    <mergeCell ref="D148:E148"/>
    <mergeCell ref="D108:E108"/>
    <mergeCell ref="C171:H171"/>
    <mergeCell ref="C172:H172"/>
    <mergeCell ref="F94:G94"/>
    <mergeCell ref="F93:G93"/>
    <mergeCell ref="H127:H128"/>
    <mergeCell ref="A100:H100"/>
    <mergeCell ref="A101:A102"/>
    <mergeCell ref="B101:B102"/>
    <mergeCell ref="C101:C102"/>
    <mergeCell ref="D101:E101"/>
    <mergeCell ref="F101:F102"/>
    <mergeCell ref="G101:G102"/>
    <mergeCell ref="H101:H102"/>
    <mergeCell ref="D104:E104"/>
    <mergeCell ref="D105:E105"/>
    <mergeCell ref="D106:E106"/>
    <mergeCell ref="D107:E107"/>
    <mergeCell ref="D110:E110"/>
    <mergeCell ref="C124:H124"/>
    <mergeCell ref="F184:G184"/>
    <mergeCell ref="F95:G95"/>
    <mergeCell ref="F98:G98"/>
    <mergeCell ref="F176:G176"/>
    <mergeCell ref="F177:G177"/>
    <mergeCell ref="F178:G178"/>
    <mergeCell ref="F179:G179"/>
    <mergeCell ref="F180:G180"/>
    <mergeCell ref="F96:G96"/>
    <mergeCell ref="F97:G97"/>
    <mergeCell ref="A99:H99"/>
    <mergeCell ref="H174:H175"/>
    <mergeCell ref="F132:G132"/>
    <mergeCell ref="F134:G134"/>
    <mergeCell ref="F133:G133"/>
    <mergeCell ref="F135:G135"/>
    <mergeCell ref="A141:H141"/>
    <mergeCell ref="A174:A175"/>
    <mergeCell ref="B174:B175"/>
    <mergeCell ref="C174:C175"/>
    <mergeCell ref="D174:E174"/>
    <mergeCell ref="F174:G175"/>
    <mergeCell ref="A127:A128"/>
    <mergeCell ref="B127:B128"/>
    <mergeCell ref="C127:C128"/>
    <mergeCell ref="D127:E127"/>
    <mergeCell ref="F127:G128"/>
    <mergeCell ref="F129:G129"/>
    <mergeCell ref="F136:G136"/>
    <mergeCell ref="A142:H142"/>
    <mergeCell ref="A143:A144"/>
    <mergeCell ref="B143:B144"/>
    <mergeCell ref="C143:C144"/>
    <mergeCell ref="D143:E143"/>
    <mergeCell ref="F143:F144"/>
    <mergeCell ref="G143:G144"/>
    <mergeCell ref="H143:H144"/>
    <mergeCell ref="F138:G138"/>
    <mergeCell ref="F139:G139"/>
    <mergeCell ref="F130:G130"/>
    <mergeCell ref="F131:G131"/>
    <mergeCell ref="F137:G137"/>
    <mergeCell ref="C125:H125"/>
    <mergeCell ref="F43:G43"/>
    <mergeCell ref="A87:A88"/>
    <mergeCell ref="B87:B88"/>
    <mergeCell ref="C87:C88"/>
    <mergeCell ref="D87:E87"/>
    <mergeCell ref="F87:G88"/>
    <mergeCell ref="H87:H88"/>
    <mergeCell ref="A46:H46"/>
    <mergeCell ref="A47:A48"/>
    <mergeCell ref="B47:B48"/>
    <mergeCell ref="C47:C48"/>
    <mergeCell ref="D47:E47"/>
    <mergeCell ref="F47:F48"/>
    <mergeCell ref="G47:G48"/>
    <mergeCell ref="H47:H48"/>
    <mergeCell ref="B82:H82"/>
    <mergeCell ref="C83:H83"/>
    <mergeCell ref="C84:H84"/>
    <mergeCell ref="F89:G89"/>
    <mergeCell ref="F90:G90"/>
    <mergeCell ref="F91:G91"/>
    <mergeCell ref="F92:G92"/>
    <mergeCell ref="H34:H35"/>
    <mergeCell ref="A6:A7"/>
    <mergeCell ref="B6:B7"/>
    <mergeCell ref="C6:C7"/>
    <mergeCell ref="D6:E6"/>
    <mergeCell ref="F6:F7"/>
    <mergeCell ref="G6:G7"/>
    <mergeCell ref="F39:G39"/>
    <mergeCell ref="F41:G41"/>
    <mergeCell ref="F38:G38"/>
    <mergeCell ref="F185:G185"/>
    <mergeCell ref="F186:G186"/>
    <mergeCell ref="F181:H181"/>
    <mergeCell ref="A1:B1"/>
    <mergeCell ref="C1:H1"/>
    <mergeCell ref="A2:B2"/>
    <mergeCell ref="C2:H2"/>
    <mergeCell ref="C4:G4"/>
    <mergeCell ref="A5:H5"/>
    <mergeCell ref="F36:G36"/>
    <mergeCell ref="F37:G37"/>
    <mergeCell ref="F40:G40"/>
    <mergeCell ref="B30:H30"/>
    <mergeCell ref="A33:H33"/>
    <mergeCell ref="F42:G42"/>
    <mergeCell ref="A45:H45"/>
    <mergeCell ref="H6:H7"/>
    <mergeCell ref="C31:H31"/>
    <mergeCell ref="C32:H32"/>
    <mergeCell ref="A34:A35"/>
    <mergeCell ref="B34:B35"/>
    <mergeCell ref="C34:C35"/>
    <mergeCell ref="D34:E34"/>
    <mergeCell ref="F34:G35"/>
  </mergeCells>
  <pageMargins left="0.39370078740157483" right="0.39370078740157483" top="0.39370078740157483" bottom="0.39370078740157483" header="0.31496062992125984" footer="0.31496062992125984"/>
  <pageSetup paperSize="9" scale="71" fitToHeight="0" orientation="landscape" r:id="rId1"/>
  <rowBreaks count="7" manualBreakCount="7">
    <brk id="44" max="16383" man="1"/>
    <brk id="93" max="16383" man="1"/>
    <brk id="98" max="16383" man="1"/>
    <brk id="116" max="16383" man="1"/>
    <brk id="140" max="16383" man="1"/>
    <brk id="164" max="16383" man="1"/>
    <brk id="180" max="16383"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159"/>
  <sheetViews>
    <sheetView view="pageBreakPreview" topLeftCell="A76" zoomScale="85" zoomScaleNormal="115" zoomScaleSheetLayoutView="85" workbookViewId="0">
      <selection activeCell="H8" sqref="H8"/>
    </sheetView>
  </sheetViews>
  <sheetFormatPr defaultColWidth="9" defaultRowHeight="14"/>
  <cols>
    <col min="1" max="1" width="5.83203125" customWidth="1"/>
    <col min="2" max="2" width="40.58203125" customWidth="1"/>
    <col min="3" max="3" width="11.25" customWidth="1"/>
    <col min="4" max="5" width="11.25" style="90" customWidth="1"/>
    <col min="6" max="6" width="52.58203125" customWidth="1"/>
    <col min="7" max="7" width="43.75" customWidth="1"/>
    <col min="8" max="8" width="16" customWidth="1"/>
    <col min="257" max="257" width="5.83203125" customWidth="1"/>
    <col min="258" max="258" width="62.4140625" customWidth="1"/>
    <col min="259" max="259" width="14.83203125" customWidth="1"/>
    <col min="260" max="260" width="17.25" customWidth="1"/>
    <col min="261" max="261" width="20.75" customWidth="1"/>
    <col min="262" max="262" width="33.83203125" customWidth="1"/>
    <col min="263" max="263" width="37.25" customWidth="1"/>
    <col min="264" max="264" width="18.58203125" customWidth="1"/>
    <col min="513" max="513" width="5.83203125" customWidth="1"/>
    <col min="514" max="514" width="62.4140625" customWidth="1"/>
    <col min="515" max="515" width="14.83203125" customWidth="1"/>
    <col min="516" max="516" width="17.25" customWidth="1"/>
    <col min="517" max="517" width="20.75" customWidth="1"/>
    <col min="518" max="518" width="33.83203125" customWidth="1"/>
    <col min="519" max="519" width="37.25" customWidth="1"/>
    <col min="520" max="520" width="18.58203125" customWidth="1"/>
    <col min="769" max="769" width="5.83203125" customWidth="1"/>
    <col min="770" max="770" width="62.4140625" customWidth="1"/>
    <col min="771" max="771" width="14.83203125" customWidth="1"/>
    <col min="772" max="772" width="17.25" customWidth="1"/>
    <col min="773" max="773" width="20.75" customWidth="1"/>
    <col min="774" max="774" width="33.83203125" customWidth="1"/>
    <col min="775" max="775" width="37.25" customWidth="1"/>
    <col min="776" max="776" width="18.58203125" customWidth="1"/>
    <col min="1025" max="1025" width="5.83203125" customWidth="1"/>
    <col min="1026" max="1026" width="62.4140625" customWidth="1"/>
    <col min="1027" max="1027" width="14.83203125" customWidth="1"/>
    <col min="1028" max="1028" width="17.25" customWidth="1"/>
    <col min="1029" max="1029" width="20.75" customWidth="1"/>
    <col min="1030" max="1030" width="33.83203125" customWidth="1"/>
    <col min="1031" max="1031" width="37.25" customWidth="1"/>
    <col min="1032" max="1032" width="18.58203125" customWidth="1"/>
    <col min="1281" max="1281" width="5.83203125" customWidth="1"/>
    <col min="1282" max="1282" width="62.4140625" customWidth="1"/>
    <col min="1283" max="1283" width="14.83203125" customWidth="1"/>
    <col min="1284" max="1284" width="17.25" customWidth="1"/>
    <col min="1285" max="1285" width="20.75" customWidth="1"/>
    <col min="1286" max="1286" width="33.83203125" customWidth="1"/>
    <col min="1287" max="1287" width="37.25" customWidth="1"/>
    <col min="1288" max="1288" width="18.58203125" customWidth="1"/>
    <col min="1537" max="1537" width="5.83203125" customWidth="1"/>
    <col min="1538" max="1538" width="62.4140625" customWidth="1"/>
    <col min="1539" max="1539" width="14.83203125" customWidth="1"/>
    <col min="1540" max="1540" width="17.25" customWidth="1"/>
    <col min="1541" max="1541" width="20.75" customWidth="1"/>
    <col min="1542" max="1542" width="33.83203125" customWidth="1"/>
    <col min="1543" max="1543" width="37.25" customWidth="1"/>
    <col min="1544" max="1544" width="18.58203125" customWidth="1"/>
    <col min="1793" max="1793" width="5.83203125" customWidth="1"/>
    <col min="1794" max="1794" width="62.4140625" customWidth="1"/>
    <col min="1795" max="1795" width="14.83203125" customWidth="1"/>
    <col min="1796" max="1796" width="17.25" customWidth="1"/>
    <col min="1797" max="1797" width="20.75" customWidth="1"/>
    <col min="1798" max="1798" width="33.83203125" customWidth="1"/>
    <col min="1799" max="1799" width="37.25" customWidth="1"/>
    <col min="1800" max="1800" width="18.58203125" customWidth="1"/>
    <col min="2049" max="2049" width="5.83203125" customWidth="1"/>
    <col min="2050" max="2050" width="62.4140625" customWidth="1"/>
    <col min="2051" max="2051" width="14.83203125" customWidth="1"/>
    <col min="2052" max="2052" width="17.25" customWidth="1"/>
    <col min="2053" max="2053" width="20.75" customWidth="1"/>
    <col min="2054" max="2054" width="33.83203125" customWidth="1"/>
    <col min="2055" max="2055" width="37.25" customWidth="1"/>
    <col min="2056" max="2056" width="18.58203125" customWidth="1"/>
    <col min="2305" max="2305" width="5.83203125" customWidth="1"/>
    <col min="2306" max="2306" width="62.4140625" customWidth="1"/>
    <col min="2307" max="2307" width="14.83203125" customWidth="1"/>
    <col min="2308" max="2308" width="17.25" customWidth="1"/>
    <col min="2309" max="2309" width="20.75" customWidth="1"/>
    <col min="2310" max="2310" width="33.83203125" customWidth="1"/>
    <col min="2311" max="2311" width="37.25" customWidth="1"/>
    <col min="2312" max="2312" width="18.58203125" customWidth="1"/>
    <col min="2561" max="2561" width="5.83203125" customWidth="1"/>
    <col min="2562" max="2562" width="62.4140625" customWidth="1"/>
    <col min="2563" max="2563" width="14.83203125" customWidth="1"/>
    <col min="2564" max="2564" width="17.25" customWidth="1"/>
    <col min="2565" max="2565" width="20.75" customWidth="1"/>
    <col min="2566" max="2566" width="33.83203125" customWidth="1"/>
    <col min="2567" max="2567" width="37.25" customWidth="1"/>
    <col min="2568" max="2568" width="18.58203125" customWidth="1"/>
    <col min="2817" max="2817" width="5.83203125" customWidth="1"/>
    <col min="2818" max="2818" width="62.4140625" customWidth="1"/>
    <col min="2819" max="2819" width="14.83203125" customWidth="1"/>
    <col min="2820" max="2820" width="17.25" customWidth="1"/>
    <col min="2821" max="2821" width="20.75" customWidth="1"/>
    <col min="2822" max="2822" width="33.83203125" customWidth="1"/>
    <col min="2823" max="2823" width="37.25" customWidth="1"/>
    <col min="2824" max="2824" width="18.58203125" customWidth="1"/>
    <col min="3073" max="3073" width="5.83203125" customWidth="1"/>
    <col min="3074" max="3074" width="62.4140625" customWidth="1"/>
    <col min="3075" max="3075" width="14.83203125" customWidth="1"/>
    <col min="3076" max="3076" width="17.25" customWidth="1"/>
    <col min="3077" max="3077" width="20.75" customWidth="1"/>
    <col min="3078" max="3078" width="33.83203125" customWidth="1"/>
    <col min="3079" max="3079" width="37.25" customWidth="1"/>
    <col min="3080" max="3080" width="18.58203125" customWidth="1"/>
    <col min="3329" max="3329" width="5.83203125" customWidth="1"/>
    <col min="3330" max="3330" width="62.4140625" customWidth="1"/>
    <col min="3331" max="3331" width="14.83203125" customWidth="1"/>
    <col min="3332" max="3332" width="17.25" customWidth="1"/>
    <col min="3333" max="3333" width="20.75" customWidth="1"/>
    <col min="3334" max="3334" width="33.83203125" customWidth="1"/>
    <col min="3335" max="3335" width="37.25" customWidth="1"/>
    <col min="3336" max="3336" width="18.58203125" customWidth="1"/>
    <col min="3585" max="3585" width="5.83203125" customWidth="1"/>
    <col min="3586" max="3586" width="62.4140625" customWidth="1"/>
    <col min="3587" max="3587" width="14.83203125" customWidth="1"/>
    <col min="3588" max="3588" width="17.25" customWidth="1"/>
    <col min="3589" max="3589" width="20.75" customWidth="1"/>
    <col min="3590" max="3590" width="33.83203125" customWidth="1"/>
    <col min="3591" max="3591" width="37.25" customWidth="1"/>
    <col min="3592" max="3592" width="18.58203125" customWidth="1"/>
    <col min="3841" max="3841" width="5.83203125" customWidth="1"/>
    <col min="3842" max="3842" width="62.4140625" customWidth="1"/>
    <col min="3843" max="3843" width="14.83203125" customWidth="1"/>
    <col min="3844" max="3844" width="17.25" customWidth="1"/>
    <col min="3845" max="3845" width="20.75" customWidth="1"/>
    <col min="3846" max="3846" width="33.83203125" customWidth="1"/>
    <col min="3847" max="3847" width="37.25" customWidth="1"/>
    <col min="3848" max="3848" width="18.58203125" customWidth="1"/>
    <col min="4097" max="4097" width="5.83203125" customWidth="1"/>
    <col min="4098" max="4098" width="62.4140625" customWidth="1"/>
    <col min="4099" max="4099" width="14.83203125" customWidth="1"/>
    <col min="4100" max="4100" width="17.25" customWidth="1"/>
    <col min="4101" max="4101" width="20.75" customWidth="1"/>
    <col min="4102" max="4102" width="33.83203125" customWidth="1"/>
    <col min="4103" max="4103" width="37.25" customWidth="1"/>
    <col min="4104" max="4104" width="18.58203125" customWidth="1"/>
    <col min="4353" max="4353" width="5.83203125" customWidth="1"/>
    <col min="4354" max="4354" width="62.4140625" customWidth="1"/>
    <col min="4355" max="4355" width="14.83203125" customWidth="1"/>
    <col min="4356" max="4356" width="17.25" customWidth="1"/>
    <col min="4357" max="4357" width="20.75" customWidth="1"/>
    <col min="4358" max="4358" width="33.83203125" customWidth="1"/>
    <col min="4359" max="4359" width="37.25" customWidth="1"/>
    <col min="4360" max="4360" width="18.58203125" customWidth="1"/>
    <col min="4609" max="4609" width="5.83203125" customWidth="1"/>
    <col min="4610" max="4610" width="62.4140625" customWidth="1"/>
    <col min="4611" max="4611" width="14.83203125" customWidth="1"/>
    <col min="4612" max="4612" width="17.25" customWidth="1"/>
    <col min="4613" max="4613" width="20.75" customWidth="1"/>
    <col min="4614" max="4614" width="33.83203125" customWidth="1"/>
    <col min="4615" max="4615" width="37.25" customWidth="1"/>
    <col min="4616" max="4616" width="18.58203125" customWidth="1"/>
    <col min="4865" max="4865" width="5.83203125" customWidth="1"/>
    <col min="4866" max="4866" width="62.4140625" customWidth="1"/>
    <col min="4867" max="4867" width="14.83203125" customWidth="1"/>
    <col min="4868" max="4868" width="17.25" customWidth="1"/>
    <col min="4869" max="4869" width="20.75" customWidth="1"/>
    <col min="4870" max="4870" width="33.83203125" customWidth="1"/>
    <col min="4871" max="4871" width="37.25" customWidth="1"/>
    <col min="4872" max="4872" width="18.58203125" customWidth="1"/>
    <col min="5121" max="5121" width="5.83203125" customWidth="1"/>
    <col min="5122" max="5122" width="62.4140625" customWidth="1"/>
    <col min="5123" max="5123" width="14.83203125" customWidth="1"/>
    <col min="5124" max="5124" width="17.25" customWidth="1"/>
    <col min="5125" max="5125" width="20.75" customWidth="1"/>
    <col min="5126" max="5126" width="33.83203125" customWidth="1"/>
    <col min="5127" max="5127" width="37.25" customWidth="1"/>
    <col min="5128" max="5128" width="18.58203125" customWidth="1"/>
    <col min="5377" max="5377" width="5.83203125" customWidth="1"/>
    <col min="5378" max="5378" width="62.4140625" customWidth="1"/>
    <col min="5379" max="5379" width="14.83203125" customWidth="1"/>
    <col min="5380" max="5380" width="17.25" customWidth="1"/>
    <col min="5381" max="5381" width="20.75" customWidth="1"/>
    <col min="5382" max="5382" width="33.83203125" customWidth="1"/>
    <col min="5383" max="5383" width="37.25" customWidth="1"/>
    <col min="5384" max="5384" width="18.58203125" customWidth="1"/>
    <col min="5633" max="5633" width="5.83203125" customWidth="1"/>
    <col min="5634" max="5634" width="62.4140625" customWidth="1"/>
    <col min="5635" max="5635" width="14.83203125" customWidth="1"/>
    <col min="5636" max="5636" width="17.25" customWidth="1"/>
    <col min="5637" max="5637" width="20.75" customWidth="1"/>
    <col min="5638" max="5638" width="33.83203125" customWidth="1"/>
    <col min="5639" max="5639" width="37.25" customWidth="1"/>
    <col min="5640" max="5640" width="18.58203125" customWidth="1"/>
    <col min="5889" max="5889" width="5.83203125" customWidth="1"/>
    <col min="5890" max="5890" width="62.4140625" customWidth="1"/>
    <col min="5891" max="5891" width="14.83203125" customWidth="1"/>
    <col min="5892" max="5892" width="17.25" customWidth="1"/>
    <col min="5893" max="5893" width="20.75" customWidth="1"/>
    <col min="5894" max="5894" width="33.83203125" customWidth="1"/>
    <col min="5895" max="5895" width="37.25" customWidth="1"/>
    <col min="5896" max="5896" width="18.58203125" customWidth="1"/>
    <col min="6145" max="6145" width="5.83203125" customWidth="1"/>
    <col min="6146" max="6146" width="62.4140625" customWidth="1"/>
    <col min="6147" max="6147" width="14.83203125" customWidth="1"/>
    <col min="6148" max="6148" width="17.25" customWidth="1"/>
    <col min="6149" max="6149" width="20.75" customWidth="1"/>
    <col min="6150" max="6150" width="33.83203125" customWidth="1"/>
    <col min="6151" max="6151" width="37.25" customWidth="1"/>
    <col min="6152" max="6152" width="18.58203125" customWidth="1"/>
    <col min="6401" max="6401" width="5.83203125" customWidth="1"/>
    <col min="6402" max="6402" width="62.4140625" customWidth="1"/>
    <col min="6403" max="6403" width="14.83203125" customWidth="1"/>
    <col min="6404" max="6404" width="17.25" customWidth="1"/>
    <col min="6405" max="6405" width="20.75" customWidth="1"/>
    <col min="6406" max="6406" width="33.83203125" customWidth="1"/>
    <col min="6407" max="6407" width="37.25" customWidth="1"/>
    <col min="6408" max="6408" width="18.58203125" customWidth="1"/>
    <col min="6657" max="6657" width="5.83203125" customWidth="1"/>
    <col min="6658" max="6658" width="62.4140625" customWidth="1"/>
    <col min="6659" max="6659" width="14.83203125" customWidth="1"/>
    <col min="6660" max="6660" width="17.25" customWidth="1"/>
    <col min="6661" max="6661" width="20.75" customWidth="1"/>
    <col min="6662" max="6662" width="33.83203125" customWidth="1"/>
    <col min="6663" max="6663" width="37.25" customWidth="1"/>
    <col min="6664" max="6664" width="18.58203125" customWidth="1"/>
    <col min="6913" max="6913" width="5.83203125" customWidth="1"/>
    <col min="6914" max="6914" width="62.4140625" customWidth="1"/>
    <col min="6915" max="6915" width="14.83203125" customWidth="1"/>
    <col min="6916" max="6916" width="17.25" customWidth="1"/>
    <col min="6917" max="6917" width="20.75" customWidth="1"/>
    <col min="6918" max="6918" width="33.83203125" customWidth="1"/>
    <col min="6919" max="6919" width="37.25" customWidth="1"/>
    <col min="6920" max="6920" width="18.58203125" customWidth="1"/>
    <col min="7169" max="7169" width="5.83203125" customWidth="1"/>
    <col min="7170" max="7170" width="62.4140625" customWidth="1"/>
    <col min="7171" max="7171" width="14.83203125" customWidth="1"/>
    <col min="7172" max="7172" width="17.25" customWidth="1"/>
    <col min="7173" max="7173" width="20.75" customWidth="1"/>
    <col min="7174" max="7174" width="33.83203125" customWidth="1"/>
    <col min="7175" max="7175" width="37.25" customWidth="1"/>
    <col min="7176" max="7176" width="18.58203125" customWidth="1"/>
    <col min="7425" max="7425" width="5.83203125" customWidth="1"/>
    <col min="7426" max="7426" width="62.4140625" customWidth="1"/>
    <col min="7427" max="7427" width="14.83203125" customWidth="1"/>
    <col min="7428" max="7428" width="17.25" customWidth="1"/>
    <col min="7429" max="7429" width="20.75" customWidth="1"/>
    <col min="7430" max="7430" width="33.83203125" customWidth="1"/>
    <col min="7431" max="7431" width="37.25" customWidth="1"/>
    <col min="7432" max="7432" width="18.58203125" customWidth="1"/>
    <col min="7681" max="7681" width="5.83203125" customWidth="1"/>
    <col min="7682" max="7682" width="62.4140625" customWidth="1"/>
    <col min="7683" max="7683" width="14.83203125" customWidth="1"/>
    <col min="7684" max="7684" width="17.25" customWidth="1"/>
    <col min="7685" max="7685" width="20.75" customWidth="1"/>
    <col min="7686" max="7686" width="33.83203125" customWidth="1"/>
    <col min="7687" max="7687" width="37.25" customWidth="1"/>
    <col min="7688" max="7688" width="18.58203125" customWidth="1"/>
    <col min="7937" max="7937" width="5.83203125" customWidth="1"/>
    <col min="7938" max="7938" width="62.4140625" customWidth="1"/>
    <col min="7939" max="7939" width="14.83203125" customWidth="1"/>
    <col min="7940" max="7940" width="17.25" customWidth="1"/>
    <col min="7941" max="7941" width="20.75" customWidth="1"/>
    <col min="7942" max="7942" width="33.83203125" customWidth="1"/>
    <col min="7943" max="7943" width="37.25" customWidth="1"/>
    <col min="7944" max="7944" width="18.58203125" customWidth="1"/>
    <col min="8193" max="8193" width="5.83203125" customWidth="1"/>
    <col min="8194" max="8194" width="62.4140625" customWidth="1"/>
    <col min="8195" max="8195" width="14.83203125" customWidth="1"/>
    <col min="8196" max="8196" width="17.25" customWidth="1"/>
    <col min="8197" max="8197" width="20.75" customWidth="1"/>
    <col min="8198" max="8198" width="33.83203125" customWidth="1"/>
    <col min="8199" max="8199" width="37.25" customWidth="1"/>
    <col min="8200" max="8200" width="18.58203125" customWidth="1"/>
    <col min="8449" max="8449" width="5.83203125" customWidth="1"/>
    <col min="8450" max="8450" width="62.4140625" customWidth="1"/>
    <col min="8451" max="8451" width="14.83203125" customWidth="1"/>
    <col min="8452" max="8452" width="17.25" customWidth="1"/>
    <col min="8453" max="8453" width="20.75" customWidth="1"/>
    <col min="8454" max="8454" width="33.83203125" customWidth="1"/>
    <col min="8455" max="8455" width="37.25" customWidth="1"/>
    <col min="8456" max="8456" width="18.58203125" customWidth="1"/>
    <col min="8705" max="8705" width="5.83203125" customWidth="1"/>
    <col min="8706" max="8706" width="62.4140625" customWidth="1"/>
    <col min="8707" max="8707" width="14.83203125" customWidth="1"/>
    <col min="8708" max="8708" width="17.25" customWidth="1"/>
    <col min="8709" max="8709" width="20.75" customWidth="1"/>
    <col min="8710" max="8710" width="33.83203125" customWidth="1"/>
    <col min="8711" max="8711" width="37.25" customWidth="1"/>
    <col min="8712" max="8712" width="18.58203125" customWidth="1"/>
    <col min="8961" max="8961" width="5.83203125" customWidth="1"/>
    <col min="8962" max="8962" width="62.4140625" customWidth="1"/>
    <col min="8963" max="8963" width="14.83203125" customWidth="1"/>
    <col min="8964" max="8964" width="17.25" customWidth="1"/>
    <col min="8965" max="8965" width="20.75" customWidth="1"/>
    <col min="8966" max="8966" width="33.83203125" customWidth="1"/>
    <col min="8967" max="8967" width="37.25" customWidth="1"/>
    <col min="8968" max="8968" width="18.58203125" customWidth="1"/>
    <col min="9217" max="9217" width="5.83203125" customWidth="1"/>
    <col min="9218" max="9218" width="62.4140625" customWidth="1"/>
    <col min="9219" max="9219" width="14.83203125" customWidth="1"/>
    <col min="9220" max="9220" width="17.25" customWidth="1"/>
    <col min="9221" max="9221" width="20.75" customWidth="1"/>
    <col min="9222" max="9222" width="33.83203125" customWidth="1"/>
    <col min="9223" max="9223" width="37.25" customWidth="1"/>
    <col min="9224" max="9224" width="18.58203125" customWidth="1"/>
    <col min="9473" max="9473" width="5.83203125" customWidth="1"/>
    <col min="9474" max="9474" width="62.4140625" customWidth="1"/>
    <col min="9475" max="9475" width="14.83203125" customWidth="1"/>
    <col min="9476" max="9476" width="17.25" customWidth="1"/>
    <col min="9477" max="9477" width="20.75" customWidth="1"/>
    <col min="9478" max="9478" width="33.83203125" customWidth="1"/>
    <col min="9479" max="9479" width="37.25" customWidth="1"/>
    <col min="9480" max="9480" width="18.58203125" customWidth="1"/>
    <col min="9729" max="9729" width="5.83203125" customWidth="1"/>
    <col min="9730" max="9730" width="62.4140625" customWidth="1"/>
    <col min="9731" max="9731" width="14.83203125" customWidth="1"/>
    <col min="9732" max="9732" width="17.25" customWidth="1"/>
    <col min="9733" max="9733" width="20.75" customWidth="1"/>
    <col min="9734" max="9734" width="33.83203125" customWidth="1"/>
    <col min="9735" max="9735" width="37.25" customWidth="1"/>
    <col min="9736" max="9736" width="18.58203125" customWidth="1"/>
    <col min="9985" max="9985" width="5.83203125" customWidth="1"/>
    <col min="9986" max="9986" width="62.4140625" customWidth="1"/>
    <col min="9987" max="9987" width="14.83203125" customWidth="1"/>
    <col min="9988" max="9988" width="17.25" customWidth="1"/>
    <col min="9989" max="9989" width="20.75" customWidth="1"/>
    <col min="9990" max="9990" width="33.83203125" customWidth="1"/>
    <col min="9991" max="9991" width="37.25" customWidth="1"/>
    <col min="9992" max="9992" width="18.58203125" customWidth="1"/>
    <col min="10241" max="10241" width="5.83203125" customWidth="1"/>
    <col min="10242" max="10242" width="62.4140625" customWidth="1"/>
    <col min="10243" max="10243" width="14.83203125" customWidth="1"/>
    <col min="10244" max="10244" width="17.25" customWidth="1"/>
    <col min="10245" max="10245" width="20.75" customWidth="1"/>
    <col min="10246" max="10246" width="33.83203125" customWidth="1"/>
    <col min="10247" max="10247" width="37.25" customWidth="1"/>
    <col min="10248" max="10248" width="18.58203125" customWidth="1"/>
    <col min="10497" max="10497" width="5.83203125" customWidth="1"/>
    <col min="10498" max="10498" width="62.4140625" customWidth="1"/>
    <col min="10499" max="10499" width="14.83203125" customWidth="1"/>
    <col min="10500" max="10500" width="17.25" customWidth="1"/>
    <col min="10501" max="10501" width="20.75" customWidth="1"/>
    <col min="10502" max="10502" width="33.83203125" customWidth="1"/>
    <col min="10503" max="10503" width="37.25" customWidth="1"/>
    <col min="10504" max="10504" width="18.58203125" customWidth="1"/>
    <col min="10753" max="10753" width="5.83203125" customWidth="1"/>
    <col min="10754" max="10754" width="62.4140625" customWidth="1"/>
    <col min="10755" max="10755" width="14.83203125" customWidth="1"/>
    <col min="10756" max="10756" width="17.25" customWidth="1"/>
    <col min="10757" max="10757" width="20.75" customWidth="1"/>
    <col min="10758" max="10758" width="33.83203125" customWidth="1"/>
    <col min="10759" max="10759" width="37.25" customWidth="1"/>
    <col min="10760" max="10760" width="18.58203125" customWidth="1"/>
    <col min="11009" max="11009" width="5.83203125" customWidth="1"/>
    <col min="11010" max="11010" width="62.4140625" customWidth="1"/>
    <col min="11011" max="11011" width="14.83203125" customWidth="1"/>
    <col min="11012" max="11012" width="17.25" customWidth="1"/>
    <col min="11013" max="11013" width="20.75" customWidth="1"/>
    <col min="11014" max="11014" width="33.83203125" customWidth="1"/>
    <col min="11015" max="11015" width="37.25" customWidth="1"/>
    <col min="11016" max="11016" width="18.58203125" customWidth="1"/>
    <col min="11265" max="11265" width="5.83203125" customWidth="1"/>
    <col min="11266" max="11266" width="62.4140625" customWidth="1"/>
    <col min="11267" max="11267" width="14.83203125" customWidth="1"/>
    <col min="11268" max="11268" width="17.25" customWidth="1"/>
    <col min="11269" max="11269" width="20.75" customWidth="1"/>
    <col min="11270" max="11270" width="33.83203125" customWidth="1"/>
    <col min="11271" max="11271" width="37.25" customWidth="1"/>
    <col min="11272" max="11272" width="18.58203125" customWidth="1"/>
    <col min="11521" max="11521" width="5.83203125" customWidth="1"/>
    <col min="11522" max="11522" width="62.4140625" customWidth="1"/>
    <col min="11523" max="11523" width="14.83203125" customWidth="1"/>
    <col min="11524" max="11524" width="17.25" customWidth="1"/>
    <col min="11525" max="11525" width="20.75" customWidth="1"/>
    <col min="11526" max="11526" width="33.83203125" customWidth="1"/>
    <col min="11527" max="11527" width="37.25" customWidth="1"/>
    <col min="11528" max="11528" width="18.58203125" customWidth="1"/>
    <col min="11777" max="11777" width="5.83203125" customWidth="1"/>
    <col min="11778" max="11778" width="62.4140625" customWidth="1"/>
    <col min="11779" max="11779" width="14.83203125" customWidth="1"/>
    <col min="11780" max="11780" width="17.25" customWidth="1"/>
    <col min="11781" max="11781" width="20.75" customWidth="1"/>
    <col min="11782" max="11782" width="33.83203125" customWidth="1"/>
    <col min="11783" max="11783" width="37.25" customWidth="1"/>
    <col min="11784" max="11784" width="18.58203125" customWidth="1"/>
    <col min="12033" max="12033" width="5.83203125" customWidth="1"/>
    <col min="12034" max="12034" width="62.4140625" customWidth="1"/>
    <col min="12035" max="12035" width="14.83203125" customWidth="1"/>
    <col min="12036" max="12036" width="17.25" customWidth="1"/>
    <col min="12037" max="12037" width="20.75" customWidth="1"/>
    <col min="12038" max="12038" width="33.83203125" customWidth="1"/>
    <col min="12039" max="12039" width="37.25" customWidth="1"/>
    <col min="12040" max="12040" width="18.58203125" customWidth="1"/>
    <col min="12289" max="12289" width="5.83203125" customWidth="1"/>
    <col min="12290" max="12290" width="62.4140625" customWidth="1"/>
    <col min="12291" max="12291" width="14.83203125" customWidth="1"/>
    <col min="12292" max="12292" width="17.25" customWidth="1"/>
    <col min="12293" max="12293" width="20.75" customWidth="1"/>
    <col min="12294" max="12294" width="33.83203125" customWidth="1"/>
    <col min="12295" max="12295" width="37.25" customWidth="1"/>
    <col min="12296" max="12296" width="18.58203125" customWidth="1"/>
    <col min="12545" max="12545" width="5.83203125" customWidth="1"/>
    <col min="12546" max="12546" width="62.4140625" customWidth="1"/>
    <col min="12547" max="12547" width="14.83203125" customWidth="1"/>
    <col min="12548" max="12548" width="17.25" customWidth="1"/>
    <col min="12549" max="12549" width="20.75" customWidth="1"/>
    <col min="12550" max="12550" width="33.83203125" customWidth="1"/>
    <col min="12551" max="12551" width="37.25" customWidth="1"/>
    <col min="12552" max="12552" width="18.58203125" customWidth="1"/>
    <col min="12801" max="12801" width="5.83203125" customWidth="1"/>
    <col min="12802" max="12802" width="62.4140625" customWidth="1"/>
    <col min="12803" max="12803" width="14.83203125" customWidth="1"/>
    <col min="12804" max="12804" width="17.25" customWidth="1"/>
    <col min="12805" max="12805" width="20.75" customWidth="1"/>
    <col min="12806" max="12806" width="33.83203125" customWidth="1"/>
    <col min="12807" max="12807" width="37.25" customWidth="1"/>
    <col min="12808" max="12808" width="18.58203125" customWidth="1"/>
    <col min="13057" max="13057" width="5.83203125" customWidth="1"/>
    <col min="13058" max="13058" width="62.4140625" customWidth="1"/>
    <col min="13059" max="13059" width="14.83203125" customWidth="1"/>
    <col min="13060" max="13060" width="17.25" customWidth="1"/>
    <col min="13061" max="13061" width="20.75" customWidth="1"/>
    <col min="13062" max="13062" width="33.83203125" customWidth="1"/>
    <col min="13063" max="13063" width="37.25" customWidth="1"/>
    <col min="13064" max="13064" width="18.58203125" customWidth="1"/>
    <col min="13313" max="13313" width="5.83203125" customWidth="1"/>
    <col min="13314" max="13314" width="62.4140625" customWidth="1"/>
    <col min="13315" max="13315" width="14.83203125" customWidth="1"/>
    <col min="13316" max="13316" width="17.25" customWidth="1"/>
    <col min="13317" max="13317" width="20.75" customWidth="1"/>
    <col min="13318" max="13318" width="33.83203125" customWidth="1"/>
    <col min="13319" max="13319" width="37.25" customWidth="1"/>
    <col min="13320" max="13320" width="18.58203125" customWidth="1"/>
    <col min="13569" max="13569" width="5.83203125" customWidth="1"/>
    <col min="13570" max="13570" width="62.4140625" customWidth="1"/>
    <col min="13571" max="13571" width="14.83203125" customWidth="1"/>
    <col min="13572" max="13572" width="17.25" customWidth="1"/>
    <col min="13573" max="13573" width="20.75" customWidth="1"/>
    <col min="13574" max="13574" width="33.83203125" customWidth="1"/>
    <col min="13575" max="13575" width="37.25" customWidth="1"/>
    <col min="13576" max="13576" width="18.58203125" customWidth="1"/>
    <col min="13825" max="13825" width="5.83203125" customWidth="1"/>
    <col min="13826" max="13826" width="62.4140625" customWidth="1"/>
    <col min="13827" max="13827" width="14.83203125" customWidth="1"/>
    <col min="13828" max="13828" width="17.25" customWidth="1"/>
    <col min="13829" max="13829" width="20.75" customWidth="1"/>
    <col min="13830" max="13830" width="33.83203125" customWidth="1"/>
    <col min="13831" max="13831" width="37.25" customWidth="1"/>
    <col min="13832" max="13832" width="18.58203125" customWidth="1"/>
    <col min="14081" max="14081" width="5.83203125" customWidth="1"/>
    <col min="14082" max="14082" width="62.4140625" customWidth="1"/>
    <col min="14083" max="14083" width="14.83203125" customWidth="1"/>
    <col min="14084" max="14084" width="17.25" customWidth="1"/>
    <col min="14085" max="14085" width="20.75" customWidth="1"/>
    <col min="14086" max="14086" width="33.83203125" customWidth="1"/>
    <col min="14087" max="14087" width="37.25" customWidth="1"/>
    <col min="14088" max="14088" width="18.58203125" customWidth="1"/>
    <col min="14337" max="14337" width="5.83203125" customWidth="1"/>
    <col min="14338" max="14338" width="62.4140625" customWidth="1"/>
    <col min="14339" max="14339" width="14.83203125" customWidth="1"/>
    <col min="14340" max="14340" width="17.25" customWidth="1"/>
    <col min="14341" max="14341" width="20.75" customWidth="1"/>
    <col min="14342" max="14342" width="33.83203125" customWidth="1"/>
    <col min="14343" max="14343" width="37.25" customWidth="1"/>
    <col min="14344" max="14344" width="18.58203125" customWidth="1"/>
    <col min="14593" max="14593" width="5.83203125" customWidth="1"/>
    <col min="14594" max="14594" width="62.4140625" customWidth="1"/>
    <col min="14595" max="14595" width="14.83203125" customWidth="1"/>
    <col min="14596" max="14596" width="17.25" customWidth="1"/>
    <col min="14597" max="14597" width="20.75" customWidth="1"/>
    <col min="14598" max="14598" width="33.83203125" customWidth="1"/>
    <col min="14599" max="14599" width="37.25" customWidth="1"/>
    <col min="14600" max="14600" width="18.58203125" customWidth="1"/>
    <col min="14849" max="14849" width="5.83203125" customWidth="1"/>
    <col min="14850" max="14850" width="62.4140625" customWidth="1"/>
    <col min="14851" max="14851" width="14.83203125" customWidth="1"/>
    <col min="14852" max="14852" width="17.25" customWidth="1"/>
    <col min="14853" max="14853" width="20.75" customWidth="1"/>
    <col min="14854" max="14854" width="33.83203125" customWidth="1"/>
    <col min="14855" max="14855" width="37.25" customWidth="1"/>
    <col min="14856" max="14856" width="18.58203125" customWidth="1"/>
    <col min="15105" max="15105" width="5.83203125" customWidth="1"/>
    <col min="15106" max="15106" width="62.4140625" customWidth="1"/>
    <col min="15107" max="15107" width="14.83203125" customWidth="1"/>
    <col min="15108" max="15108" width="17.25" customWidth="1"/>
    <col min="15109" max="15109" width="20.75" customWidth="1"/>
    <col min="15110" max="15110" width="33.83203125" customWidth="1"/>
    <col min="15111" max="15111" width="37.25" customWidth="1"/>
    <col min="15112" max="15112" width="18.58203125" customWidth="1"/>
    <col min="15361" max="15361" width="5.83203125" customWidth="1"/>
    <col min="15362" max="15362" width="62.4140625" customWidth="1"/>
    <col min="15363" max="15363" width="14.83203125" customWidth="1"/>
    <col min="15364" max="15364" width="17.25" customWidth="1"/>
    <col min="15365" max="15365" width="20.75" customWidth="1"/>
    <col min="15366" max="15366" width="33.83203125" customWidth="1"/>
    <col min="15367" max="15367" width="37.25" customWidth="1"/>
    <col min="15368" max="15368" width="18.58203125" customWidth="1"/>
    <col min="15617" max="15617" width="5.83203125" customWidth="1"/>
    <col min="15618" max="15618" width="62.4140625" customWidth="1"/>
    <col min="15619" max="15619" width="14.83203125" customWidth="1"/>
    <col min="15620" max="15620" width="17.25" customWidth="1"/>
    <col min="15621" max="15621" width="20.75" customWidth="1"/>
    <col min="15622" max="15622" width="33.83203125" customWidth="1"/>
    <col min="15623" max="15623" width="37.25" customWidth="1"/>
    <col min="15624" max="15624" width="18.58203125" customWidth="1"/>
    <col min="15873" max="15873" width="5.83203125" customWidth="1"/>
    <col min="15874" max="15874" width="62.4140625" customWidth="1"/>
    <col min="15875" max="15875" width="14.83203125" customWidth="1"/>
    <col min="15876" max="15876" width="17.25" customWidth="1"/>
    <col min="15877" max="15877" width="20.75" customWidth="1"/>
    <col min="15878" max="15878" width="33.83203125" customWidth="1"/>
    <col min="15879" max="15879" width="37.25" customWidth="1"/>
    <col min="15880" max="15880" width="18.58203125" customWidth="1"/>
    <col min="16129" max="16129" width="5.83203125" customWidth="1"/>
    <col min="16130" max="16130" width="62.4140625" customWidth="1"/>
    <col min="16131" max="16131" width="14.83203125" customWidth="1"/>
    <col min="16132" max="16132" width="17.25" customWidth="1"/>
    <col min="16133" max="16133" width="20.75" customWidth="1"/>
    <col min="16134" max="16134" width="33.83203125" customWidth="1"/>
    <col min="16135" max="16135" width="37.25" customWidth="1"/>
    <col min="16136" max="16136" width="18.58203125" customWidth="1"/>
  </cols>
  <sheetData>
    <row r="1" spans="1:8" ht="17.5">
      <c r="A1" s="572" t="s">
        <v>0</v>
      </c>
      <c r="B1" s="572"/>
      <c r="C1" s="573" t="s">
        <v>19</v>
      </c>
      <c r="D1" s="573"/>
      <c r="E1" s="573"/>
      <c r="F1" s="573"/>
      <c r="G1" s="573"/>
      <c r="H1" s="573"/>
    </row>
    <row r="2" spans="1:8" ht="15.5" thickBot="1">
      <c r="A2" s="574" t="s">
        <v>18</v>
      </c>
      <c r="B2" s="574"/>
      <c r="C2" s="574" t="s">
        <v>194</v>
      </c>
      <c r="D2" s="574"/>
      <c r="E2" s="574"/>
      <c r="F2" s="574"/>
      <c r="G2" s="574"/>
      <c r="H2" s="574"/>
    </row>
    <row r="3" spans="1:8" ht="16" thickTop="1">
      <c r="A3" s="2"/>
      <c r="B3" s="2"/>
      <c r="C3" s="2"/>
      <c r="D3" s="75"/>
      <c r="E3" s="75"/>
      <c r="F3" s="2"/>
      <c r="G3" s="2"/>
      <c r="H3" s="2"/>
    </row>
    <row r="4" spans="1:8" ht="15.5">
      <c r="A4" s="2"/>
      <c r="B4" s="3"/>
      <c r="C4" s="510"/>
      <c r="D4" s="510"/>
      <c r="E4" s="510"/>
      <c r="F4" s="510"/>
      <c r="G4" s="575"/>
      <c r="H4" s="4" t="s">
        <v>1</v>
      </c>
    </row>
    <row r="5" spans="1:8" ht="15">
      <c r="A5" s="570" t="s">
        <v>22</v>
      </c>
      <c r="B5" s="570"/>
      <c r="C5" s="570"/>
      <c r="D5" s="570"/>
      <c r="E5" s="570"/>
      <c r="F5" s="570"/>
      <c r="G5" s="570"/>
      <c r="H5" s="570"/>
    </row>
    <row r="6" spans="1:8" s="1" customFormat="1" ht="15.5">
      <c r="A6" s="516" t="s">
        <v>2</v>
      </c>
      <c r="B6" s="525" t="s">
        <v>3</v>
      </c>
      <c r="C6" s="516" t="s">
        <v>4</v>
      </c>
      <c r="D6" s="526" t="s">
        <v>5</v>
      </c>
      <c r="E6" s="526"/>
      <c r="F6" s="525" t="s">
        <v>6</v>
      </c>
      <c r="G6" s="516" t="s">
        <v>7</v>
      </c>
      <c r="H6" s="516" t="s">
        <v>392</v>
      </c>
    </row>
    <row r="7" spans="1:8" s="1" customFormat="1" ht="15.5">
      <c r="A7" s="516"/>
      <c r="B7" s="525"/>
      <c r="C7" s="516"/>
      <c r="D7" s="76" t="s">
        <v>8</v>
      </c>
      <c r="E7" s="76" t="s">
        <v>9</v>
      </c>
      <c r="F7" s="525"/>
      <c r="G7" s="516"/>
      <c r="H7" s="516"/>
    </row>
    <row r="8" spans="1:8" ht="15.5">
      <c r="A8" s="5" t="s">
        <v>10</v>
      </c>
      <c r="B8" s="6" t="s">
        <v>11</v>
      </c>
      <c r="C8" s="4"/>
      <c r="D8" s="77"/>
      <c r="E8" s="77"/>
      <c r="F8" s="4"/>
      <c r="G8" s="4"/>
      <c r="H8" s="4"/>
    </row>
    <row r="9" spans="1:8" s="8" customFormat="1" ht="42.75" customHeight="1">
      <c r="A9" s="10">
        <v>1</v>
      </c>
      <c r="B9" s="30" t="s">
        <v>29</v>
      </c>
      <c r="C9" s="10" t="s">
        <v>12</v>
      </c>
      <c r="D9" s="92">
        <v>45708</v>
      </c>
      <c r="E9" s="92">
        <v>45740</v>
      </c>
      <c r="F9" s="11" t="s">
        <v>21</v>
      </c>
      <c r="G9" s="17"/>
      <c r="H9" s="14"/>
    </row>
    <row r="10" spans="1:8" s="8" customFormat="1" ht="31">
      <c r="A10" s="10">
        <v>2</v>
      </c>
      <c r="B10" s="30" t="s">
        <v>30</v>
      </c>
      <c r="C10" s="10" t="s">
        <v>12</v>
      </c>
      <c r="D10" s="92">
        <v>45708</v>
      </c>
      <c r="E10" s="92">
        <v>45740</v>
      </c>
      <c r="F10" s="11" t="s">
        <v>40</v>
      </c>
      <c r="G10" s="17" t="s">
        <v>172</v>
      </c>
      <c r="H10" s="14"/>
    </row>
    <row r="11" spans="1:8" s="8" customFormat="1" ht="31">
      <c r="A11" s="10">
        <v>3</v>
      </c>
      <c r="B11" s="30" t="s">
        <v>31</v>
      </c>
      <c r="C11" s="10" t="s">
        <v>12</v>
      </c>
      <c r="D11" s="92">
        <v>45708</v>
      </c>
      <c r="E11" s="92">
        <v>45742</v>
      </c>
      <c r="F11" s="11" t="s">
        <v>21</v>
      </c>
      <c r="G11" s="17"/>
      <c r="H11" s="14"/>
    </row>
    <row r="12" spans="1:8" s="8" customFormat="1" ht="31">
      <c r="A12" s="10">
        <v>4</v>
      </c>
      <c r="B12" s="7" t="s">
        <v>46</v>
      </c>
      <c r="C12" s="10" t="s">
        <v>39</v>
      </c>
      <c r="D12" s="92">
        <v>45717</v>
      </c>
      <c r="E12" s="92">
        <v>45736</v>
      </c>
      <c r="F12" s="11" t="s">
        <v>48</v>
      </c>
      <c r="G12" s="17"/>
      <c r="H12" s="14"/>
    </row>
    <row r="13" spans="1:8" s="8" customFormat="1" ht="31">
      <c r="A13" s="10">
        <v>5</v>
      </c>
      <c r="B13" s="7" t="s">
        <v>60</v>
      </c>
      <c r="C13" s="10" t="s">
        <v>39</v>
      </c>
      <c r="D13" s="92">
        <v>45733</v>
      </c>
      <c r="E13" s="92">
        <v>45735</v>
      </c>
      <c r="F13" s="11" t="s">
        <v>180</v>
      </c>
      <c r="G13" s="17"/>
      <c r="H13" s="14"/>
    </row>
    <row r="14" spans="1:8" s="8" customFormat="1" ht="31">
      <c r="A14" s="10">
        <v>6</v>
      </c>
      <c r="B14" s="7" t="s">
        <v>61</v>
      </c>
      <c r="C14" s="10" t="s">
        <v>39</v>
      </c>
      <c r="D14" s="24" t="s">
        <v>53</v>
      </c>
      <c r="E14" s="24" t="s">
        <v>53</v>
      </c>
      <c r="F14" s="11" t="s">
        <v>62</v>
      </c>
      <c r="G14" s="17"/>
      <c r="H14" s="14"/>
    </row>
    <row r="15" spans="1:8" s="8" customFormat="1" ht="32.25" customHeight="1">
      <c r="A15" s="10">
        <v>7</v>
      </c>
      <c r="B15" s="30" t="s">
        <v>25</v>
      </c>
      <c r="C15" s="10" t="s">
        <v>12</v>
      </c>
      <c r="D15" s="24" t="s">
        <v>53</v>
      </c>
      <c r="E15" s="24" t="s">
        <v>53</v>
      </c>
      <c r="F15" s="11" t="s">
        <v>26</v>
      </c>
      <c r="G15" s="17"/>
      <c r="H15" s="14"/>
    </row>
    <row r="16" spans="1:8" s="8" customFormat="1" ht="15.5">
      <c r="A16" s="10">
        <v>8</v>
      </c>
      <c r="B16" s="30" t="s">
        <v>36</v>
      </c>
      <c r="C16" s="10" t="s">
        <v>12</v>
      </c>
      <c r="D16" s="24" t="s">
        <v>53</v>
      </c>
      <c r="E16" s="24" t="s">
        <v>53</v>
      </c>
      <c r="F16" s="11" t="s">
        <v>146</v>
      </c>
      <c r="G16" s="17"/>
      <c r="H16" s="14"/>
    </row>
    <row r="17" spans="1:8" s="8" customFormat="1" ht="62">
      <c r="A17" s="10">
        <v>9</v>
      </c>
      <c r="B17" s="7" t="s">
        <v>63</v>
      </c>
      <c r="C17" s="10"/>
      <c r="D17" s="24" t="s">
        <v>53</v>
      </c>
      <c r="E17" s="24" t="s">
        <v>53</v>
      </c>
      <c r="F17" s="11" t="s">
        <v>64</v>
      </c>
      <c r="G17" s="17" t="s">
        <v>65</v>
      </c>
      <c r="H17" s="14"/>
    </row>
    <row r="18" spans="1:8" s="8" customFormat="1" ht="43.5" customHeight="1">
      <c r="A18" s="10">
        <v>10</v>
      </c>
      <c r="B18" s="7" t="s">
        <v>170</v>
      </c>
      <c r="C18" s="10"/>
      <c r="D18" s="24" t="s">
        <v>53</v>
      </c>
      <c r="E18" s="24" t="s">
        <v>53</v>
      </c>
      <c r="F18" s="11" t="s">
        <v>171</v>
      </c>
      <c r="G18" s="17"/>
      <c r="H18" s="14"/>
    </row>
    <row r="19" spans="1:8" ht="15.5">
      <c r="A19" s="5" t="s">
        <v>13</v>
      </c>
      <c r="B19" s="6" t="s">
        <v>14</v>
      </c>
      <c r="C19" s="20"/>
      <c r="D19" s="29"/>
      <c r="E19" s="29"/>
      <c r="F19" s="11"/>
      <c r="G19" s="11"/>
      <c r="H19" s="4"/>
    </row>
    <row r="20" spans="1:8" s="8" customFormat="1" ht="31">
      <c r="A20" s="10">
        <v>1</v>
      </c>
      <c r="B20" s="30" t="s">
        <v>32</v>
      </c>
      <c r="C20" s="10" t="s">
        <v>12</v>
      </c>
      <c r="D20" s="24"/>
      <c r="E20" s="24"/>
      <c r="F20" s="11" t="s">
        <v>121</v>
      </c>
      <c r="G20" s="11" t="s">
        <v>122</v>
      </c>
      <c r="H20" s="13">
        <v>31468800</v>
      </c>
    </row>
    <row r="21" spans="1:8" s="8" customFormat="1" ht="65.25" customHeight="1">
      <c r="A21" s="10">
        <v>2</v>
      </c>
      <c r="B21" s="30" t="s">
        <v>57</v>
      </c>
      <c r="C21" s="10"/>
      <c r="D21" s="24"/>
      <c r="E21" s="24"/>
      <c r="F21" s="11" t="s">
        <v>58</v>
      </c>
      <c r="G21" s="11" t="s">
        <v>59</v>
      </c>
      <c r="H21" s="13"/>
    </row>
    <row r="22" spans="1:8" s="8" customFormat="1" ht="15.5">
      <c r="A22" s="10">
        <v>3</v>
      </c>
      <c r="B22" s="30" t="s">
        <v>33</v>
      </c>
      <c r="C22" s="10" t="s">
        <v>12</v>
      </c>
      <c r="D22" s="24"/>
      <c r="E22" s="24"/>
      <c r="F22" s="11" t="s">
        <v>49</v>
      </c>
      <c r="G22" s="11"/>
      <c r="H22" s="13"/>
    </row>
    <row r="23" spans="1:8" s="8" customFormat="1" ht="15.5">
      <c r="A23" s="10">
        <v>4</v>
      </c>
      <c r="B23" s="30" t="s">
        <v>34</v>
      </c>
      <c r="C23" s="10" t="s">
        <v>12</v>
      </c>
      <c r="D23" s="24"/>
      <c r="E23" s="24"/>
      <c r="F23" s="11" t="s">
        <v>50</v>
      </c>
      <c r="G23" s="17" t="s">
        <v>123</v>
      </c>
      <c r="H23" s="14"/>
    </row>
    <row r="24" spans="1:8" s="8" customFormat="1" ht="168" customHeight="1">
      <c r="A24" s="10">
        <v>5</v>
      </c>
      <c r="B24" s="30" t="s">
        <v>37</v>
      </c>
      <c r="C24" s="10" t="s">
        <v>12</v>
      </c>
      <c r="D24" s="24"/>
      <c r="E24" s="24"/>
      <c r="F24" s="11" t="s">
        <v>51</v>
      </c>
      <c r="G24" s="17" t="s">
        <v>56</v>
      </c>
      <c r="H24" s="14"/>
    </row>
    <row r="25" spans="1:8" s="8" customFormat="1" ht="31">
      <c r="A25" s="10">
        <v>6</v>
      </c>
      <c r="B25" s="32" t="s">
        <v>38</v>
      </c>
      <c r="C25" s="10" t="s">
        <v>12</v>
      </c>
      <c r="D25" s="92">
        <v>45729</v>
      </c>
      <c r="E25" s="116">
        <v>45729</v>
      </c>
      <c r="F25" s="11" t="s">
        <v>52</v>
      </c>
      <c r="G25" s="17" t="s">
        <v>124</v>
      </c>
      <c r="H25" s="14"/>
    </row>
    <row r="26" spans="1:8" s="52" customFormat="1" ht="62">
      <c r="A26" s="10">
        <v>7</v>
      </c>
      <c r="B26" s="15" t="s">
        <v>147</v>
      </c>
      <c r="C26" s="49" t="s">
        <v>39</v>
      </c>
      <c r="D26" s="93">
        <v>45734</v>
      </c>
      <c r="E26" s="93">
        <v>45734</v>
      </c>
      <c r="F26" s="56" t="s">
        <v>152</v>
      </c>
      <c r="G26" s="56" t="s">
        <v>153</v>
      </c>
      <c r="H26" s="51"/>
    </row>
    <row r="27" spans="1:8" s="52" customFormat="1" ht="62">
      <c r="A27" s="10">
        <v>8</v>
      </c>
      <c r="B27" s="71" t="s">
        <v>148</v>
      </c>
      <c r="C27" s="49" t="s">
        <v>39</v>
      </c>
      <c r="D27" s="93">
        <v>45734</v>
      </c>
      <c r="E27" s="93"/>
      <c r="F27" s="56" t="s">
        <v>149</v>
      </c>
      <c r="G27" s="56" t="s">
        <v>150</v>
      </c>
      <c r="H27" s="51"/>
    </row>
    <row r="28" spans="1:8" s="8" customFormat="1" ht="46.5">
      <c r="A28" s="10">
        <v>9</v>
      </c>
      <c r="B28" s="32" t="s">
        <v>55</v>
      </c>
      <c r="C28" s="10" t="s">
        <v>39</v>
      </c>
      <c r="D28" s="92">
        <v>45735</v>
      </c>
      <c r="E28" s="116">
        <v>45744</v>
      </c>
      <c r="F28" s="11" t="s">
        <v>54</v>
      </c>
      <c r="G28" s="17" t="s">
        <v>181</v>
      </c>
      <c r="H28" s="14"/>
    </row>
    <row r="29" spans="1:8" s="8" customFormat="1" ht="15.5">
      <c r="A29" s="36" t="s">
        <v>174</v>
      </c>
      <c r="B29" s="488" t="s">
        <v>177</v>
      </c>
      <c r="C29" s="489"/>
      <c r="D29" s="80"/>
      <c r="E29" s="80"/>
      <c r="F29" s="42"/>
      <c r="G29" s="50"/>
      <c r="H29" s="99"/>
    </row>
    <row r="30" spans="1:8" s="8" customFormat="1" ht="15">
      <c r="A30" s="104">
        <v>1</v>
      </c>
      <c r="B30" s="36" t="s">
        <v>175</v>
      </c>
      <c r="C30" s="535"/>
      <c r="D30" s="535"/>
      <c r="E30" s="535"/>
      <c r="F30" s="535"/>
      <c r="G30" s="535"/>
      <c r="H30" s="535"/>
    </row>
    <row r="31" spans="1:8" s="8" customFormat="1" ht="15">
      <c r="A31" s="41">
        <v>2</v>
      </c>
      <c r="B31" s="117" t="s">
        <v>176</v>
      </c>
      <c r="C31" s="565"/>
      <c r="D31" s="565"/>
      <c r="E31" s="565"/>
      <c r="F31" s="565"/>
      <c r="G31" s="565"/>
      <c r="H31" s="565"/>
    </row>
    <row r="32" spans="1:8" s="40" customFormat="1" ht="15.5">
      <c r="A32" s="110" t="s">
        <v>110</v>
      </c>
      <c r="B32" s="108"/>
      <c r="C32" s="108"/>
      <c r="D32" s="109"/>
      <c r="E32" s="109"/>
      <c r="F32" s="108"/>
      <c r="G32" s="108"/>
      <c r="H32" s="122"/>
    </row>
    <row r="33" spans="1:8" s="40" customFormat="1">
      <c r="A33" s="437" t="s">
        <v>2</v>
      </c>
      <c r="B33" s="523" t="s">
        <v>3</v>
      </c>
      <c r="C33" s="441" t="s">
        <v>4</v>
      </c>
      <c r="D33" s="443" t="s">
        <v>5</v>
      </c>
      <c r="E33" s="443"/>
      <c r="F33" s="437" t="s">
        <v>111</v>
      </c>
      <c r="G33" s="437"/>
      <c r="H33" s="444" t="s">
        <v>66</v>
      </c>
    </row>
    <row r="34" spans="1:8" s="40" customFormat="1">
      <c r="A34" s="438"/>
      <c r="B34" s="524"/>
      <c r="C34" s="442"/>
      <c r="D34" s="123" t="s">
        <v>8</v>
      </c>
      <c r="E34" s="123" t="s">
        <v>9</v>
      </c>
      <c r="F34" s="438"/>
      <c r="G34" s="438"/>
      <c r="H34" s="445"/>
    </row>
    <row r="35" spans="1:8" s="40" customFormat="1" ht="15.5">
      <c r="A35" s="35" t="s">
        <v>10</v>
      </c>
      <c r="B35" s="36" t="s">
        <v>11</v>
      </c>
      <c r="C35" s="44"/>
      <c r="D35" s="79"/>
      <c r="E35" s="79"/>
      <c r="F35" s="426"/>
      <c r="G35" s="426"/>
      <c r="H35" s="37"/>
    </row>
    <row r="36" spans="1:8" ht="15.5">
      <c r="A36" s="35" t="s">
        <v>13</v>
      </c>
      <c r="B36" s="72" t="s">
        <v>14</v>
      </c>
      <c r="C36" s="9"/>
      <c r="D36" s="28"/>
      <c r="E36" s="28"/>
      <c r="F36" s="426"/>
      <c r="G36" s="426"/>
      <c r="H36" s="4"/>
    </row>
    <row r="37" spans="1:8" ht="31">
      <c r="A37" s="44">
        <v>1</v>
      </c>
      <c r="B37" s="53" t="s">
        <v>144</v>
      </c>
      <c r="C37" s="44" t="s">
        <v>12</v>
      </c>
      <c r="D37" s="84"/>
      <c r="E37" s="84"/>
      <c r="F37" s="436" t="s">
        <v>160</v>
      </c>
      <c r="G37" s="423"/>
      <c r="H37" s="37"/>
    </row>
    <row r="38" spans="1:8" s="40" customFormat="1" ht="48.75" customHeight="1">
      <c r="A38" s="44">
        <v>2</v>
      </c>
      <c r="B38" s="73" t="s">
        <v>190</v>
      </c>
      <c r="C38" s="44" t="s">
        <v>12</v>
      </c>
      <c r="D38" s="93"/>
      <c r="E38" s="93"/>
      <c r="F38" s="422" t="s">
        <v>191</v>
      </c>
      <c r="G38" s="423"/>
      <c r="H38" s="98"/>
    </row>
    <row r="39" spans="1:8" s="40" customFormat="1" ht="48.75" customHeight="1">
      <c r="A39" s="44">
        <v>3</v>
      </c>
      <c r="B39" s="73" t="s">
        <v>192</v>
      </c>
      <c r="C39" s="44" t="s">
        <v>39</v>
      </c>
      <c r="D39" s="93"/>
      <c r="E39" s="93"/>
      <c r="F39" s="422" t="s">
        <v>191</v>
      </c>
      <c r="G39" s="423"/>
      <c r="H39" s="98"/>
    </row>
    <row r="40" spans="1:8" ht="15.5">
      <c r="A40" s="132"/>
      <c r="B40" s="133"/>
      <c r="C40" s="134"/>
      <c r="D40" s="80"/>
      <c r="E40" s="80"/>
      <c r="F40" s="135"/>
      <c r="G40" s="136"/>
      <c r="H40" s="137"/>
    </row>
    <row r="41" spans="1:8" ht="16" thickBot="1">
      <c r="A41" s="132"/>
      <c r="B41" s="133"/>
      <c r="C41" s="134"/>
      <c r="D41" s="80"/>
      <c r="E41" s="80"/>
      <c r="F41" s="135"/>
      <c r="G41" s="136"/>
      <c r="H41" s="137"/>
    </row>
    <row r="42" spans="1:8" ht="19.5" customHeight="1" thickTop="1">
      <c r="A42" s="568" t="s">
        <v>23</v>
      </c>
      <c r="B42" s="569"/>
      <c r="C42" s="569"/>
      <c r="D42" s="570"/>
      <c r="E42" s="570"/>
      <c r="F42" s="569"/>
      <c r="G42" s="569"/>
      <c r="H42" s="571"/>
    </row>
    <row r="43" spans="1:8" ht="15">
      <c r="A43" s="446" t="s">
        <v>178</v>
      </c>
      <c r="B43" s="447"/>
      <c r="C43" s="447"/>
      <c r="D43" s="447"/>
      <c r="E43" s="447"/>
      <c r="F43" s="447"/>
      <c r="G43" s="447"/>
      <c r="H43" s="448"/>
    </row>
    <row r="44" spans="1:8" s="1" customFormat="1" ht="15.5">
      <c r="A44" s="561" t="s">
        <v>2</v>
      </c>
      <c r="B44" s="563" t="s">
        <v>3</v>
      </c>
      <c r="C44" s="561" t="s">
        <v>4</v>
      </c>
      <c r="D44" s="579" t="s">
        <v>5</v>
      </c>
      <c r="E44" s="580"/>
      <c r="F44" s="563" t="s">
        <v>6</v>
      </c>
      <c r="G44" s="561" t="s">
        <v>7</v>
      </c>
      <c r="H44" s="561" t="s">
        <v>66</v>
      </c>
    </row>
    <row r="45" spans="1:8" s="1" customFormat="1" ht="15.5">
      <c r="A45" s="562"/>
      <c r="B45" s="564"/>
      <c r="C45" s="562"/>
      <c r="D45" s="78" t="s">
        <v>8</v>
      </c>
      <c r="E45" s="78" t="s">
        <v>9</v>
      </c>
      <c r="F45" s="564"/>
      <c r="G45" s="562"/>
      <c r="H45" s="562"/>
    </row>
    <row r="46" spans="1:8" ht="15.5">
      <c r="A46" s="35" t="s">
        <v>10</v>
      </c>
      <c r="B46" s="36" t="s">
        <v>11</v>
      </c>
      <c r="C46" s="37"/>
      <c r="D46" s="79"/>
      <c r="E46" s="79"/>
      <c r="F46" s="63"/>
      <c r="G46" s="38"/>
      <c r="H46" s="39"/>
    </row>
    <row r="47" spans="1:8" s="62" customFormat="1" ht="46.5">
      <c r="A47" s="48">
        <v>1</v>
      </c>
      <c r="B47" s="15" t="s">
        <v>125</v>
      </c>
      <c r="C47" s="43" t="s">
        <v>39</v>
      </c>
      <c r="D47" s="94">
        <v>45709</v>
      </c>
      <c r="E47" s="94">
        <v>45723</v>
      </c>
      <c r="F47" s="53" t="s">
        <v>126</v>
      </c>
      <c r="G47" s="50"/>
      <c r="H47" s="65">
        <f>16665000*3</f>
        <v>49995000</v>
      </c>
    </row>
    <row r="48" spans="1:8" s="8" customFormat="1" ht="31">
      <c r="A48" s="48">
        <v>2</v>
      </c>
      <c r="B48" s="15" t="s">
        <v>127</v>
      </c>
      <c r="C48" s="49" t="s">
        <v>39</v>
      </c>
      <c r="D48" s="94">
        <v>45709</v>
      </c>
      <c r="E48" s="94">
        <v>45709</v>
      </c>
      <c r="F48" s="15" t="s">
        <v>84</v>
      </c>
      <c r="G48" s="50"/>
      <c r="H48" s="50"/>
    </row>
    <row r="49" spans="1:8" s="62" customFormat="1" ht="48" customHeight="1">
      <c r="A49" s="48">
        <v>3</v>
      </c>
      <c r="B49" s="15" t="s">
        <v>128</v>
      </c>
      <c r="C49" s="43" t="s">
        <v>39</v>
      </c>
      <c r="D49" s="95">
        <v>45713</v>
      </c>
      <c r="E49" s="95">
        <v>45721</v>
      </c>
      <c r="F49" s="53" t="s">
        <v>126</v>
      </c>
      <c r="G49" s="50"/>
      <c r="H49" s="65">
        <v>16550000</v>
      </c>
    </row>
    <row r="50" spans="1:8" s="8" customFormat="1" ht="31">
      <c r="A50" s="48">
        <v>4</v>
      </c>
      <c r="B50" s="15" t="s">
        <v>129</v>
      </c>
      <c r="C50" s="49" t="s">
        <v>39</v>
      </c>
      <c r="D50" s="94">
        <v>45715</v>
      </c>
      <c r="E50" s="94">
        <v>45715</v>
      </c>
      <c r="F50" s="15" t="s">
        <v>155</v>
      </c>
      <c r="G50" s="56" t="s">
        <v>158</v>
      </c>
      <c r="H50" s="50"/>
    </row>
    <row r="51" spans="1:8" s="8" customFormat="1" ht="31">
      <c r="A51" s="48">
        <v>5</v>
      </c>
      <c r="B51" s="15" t="s">
        <v>130</v>
      </c>
      <c r="C51" s="49" t="s">
        <v>39</v>
      </c>
      <c r="D51" s="94">
        <v>45723</v>
      </c>
      <c r="E51" s="94">
        <v>45723</v>
      </c>
      <c r="F51" s="15" t="s">
        <v>154</v>
      </c>
      <c r="G51" s="42"/>
      <c r="H51" s="50"/>
    </row>
    <row r="52" spans="1:8" s="62" customFormat="1" ht="31">
      <c r="A52" s="48">
        <v>6</v>
      </c>
      <c r="B52" s="15" t="s">
        <v>131</v>
      </c>
      <c r="C52" s="49" t="s">
        <v>39</v>
      </c>
      <c r="D52" s="94">
        <v>45724</v>
      </c>
      <c r="E52" s="94">
        <v>45724</v>
      </c>
      <c r="F52" s="15" t="s">
        <v>155</v>
      </c>
      <c r="G52" s="67"/>
      <c r="H52" s="50"/>
    </row>
    <row r="53" spans="1:8" s="62" customFormat="1" ht="31">
      <c r="A53" s="48">
        <v>7</v>
      </c>
      <c r="B53" s="15" t="s">
        <v>132</v>
      </c>
      <c r="C53" s="49" t="s">
        <v>39</v>
      </c>
      <c r="D53" s="94">
        <v>45365</v>
      </c>
      <c r="E53" s="94">
        <v>45366</v>
      </c>
      <c r="F53" s="15" t="s">
        <v>156</v>
      </c>
      <c r="G53" s="67"/>
      <c r="H53" s="50"/>
    </row>
    <row r="54" spans="1:8" s="62" customFormat="1" ht="15.5">
      <c r="A54" s="48">
        <v>8</v>
      </c>
      <c r="B54" s="15" t="s">
        <v>133</v>
      </c>
      <c r="C54" s="49" t="s">
        <v>39</v>
      </c>
      <c r="D54" s="94">
        <v>45732</v>
      </c>
      <c r="E54" s="94">
        <v>45733</v>
      </c>
      <c r="F54" s="15" t="s">
        <v>157</v>
      </c>
      <c r="G54" s="67"/>
      <c r="H54" s="50"/>
    </row>
    <row r="55" spans="1:8" s="8" customFormat="1" ht="31">
      <c r="A55" s="48">
        <v>9</v>
      </c>
      <c r="B55" s="15" t="s">
        <v>134</v>
      </c>
      <c r="C55" s="49" t="s">
        <v>39</v>
      </c>
      <c r="D55" s="94">
        <v>45733</v>
      </c>
      <c r="E55" s="94">
        <v>45733</v>
      </c>
      <c r="F55" s="15" t="s">
        <v>84</v>
      </c>
      <c r="G55" s="50"/>
      <c r="H55" s="50"/>
    </row>
    <row r="56" spans="1:8" s="8" customFormat="1" ht="15.5">
      <c r="A56" s="44"/>
      <c r="B56" s="15"/>
      <c r="C56" s="49"/>
      <c r="D56" s="80"/>
      <c r="E56" s="80"/>
      <c r="F56" s="66"/>
      <c r="G56" s="50"/>
      <c r="H56" s="50"/>
    </row>
    <row r="57" spans="1:8" ht="15.5">
      <c r="A57" s="58" t="s">
        <v>13</v>
      </c>
      <c r="B57" s="59" t="s">
        <v>14</v>
      </c>
      <c r="C57" s="16"/>
      <c r="D57" s="81"/>
      <c r="E57" s="81"/>
      <c r="F57" s="45"/>
      <c r="G57" s="56"/>
      <c r="H57" s="37"/>
    </row>
    <row r="58" spans="1:8" s="8" customFormat="1" ht="31">
      <c r="A58" s="48">
        <v>1</v>
      </c>
      <c r="B58" s="53" t="s">
        <v>135</v>
      </c>
      <c r="C58" s="43" t="s">
        <v>12</v>
      </c>
      <c r="D58" s="95">
        <v>45722</v>
      </c>
      <c r="E58" s="95">
        <v>45736</v>
      </c>
      <c r="F58" s="64" t="s">
        <v>136</v>
      </c>
      <c r="G58" s="50"/>
      <c r="H58" s="50"/>
    </row>
    <row r="59" spans="1:8" s="62" customFormat="1" ht="62">
      <c r="A59" s="48">
        <v>2</v>
      </c>
      <c r="B59" s="15" t="s">
        <v>137</v>
      </c>
      <c r="C59" s="49" t="s">
        <v>39</v>
      </c>
      <c r="D59" s="94">
        <v>45723</v>
      </c>
      <c r="E59" s="94">
        <v>45745</v>
      </c>
      <c r="F59" s="66" t="s">
        <v>90</v>
      </c>
      <c r="G59" s="42" t="s">
        <v>59</v>
      </c>
      <c r="H59" s="50"/>
    </row>
    <row r="60" spans="1:8" s="8" customFormat="1" ht="15.5">
      <c r="A60" s="44"/>
      <c r="B60" s="15"/>
      <c r="C60" s="49"/>
      <c r="D60" s="80"/>
      <c r="E60" s="80"/>
      <c r="F60" s="42"/>
      <c r="G60" s="50"/>
      <c r="H60" s="50"/>
    </row>
    <row r="61" spans="1:8" s="8" customFormat="1" ht="15.5">
      <c r="A61" s="36" t="s">
        <v>174</v>
      </c>
      <c r="B61" s="36" t="s">
        <v>173</v>
      </c>
      <c r="C61" s="49"/>
      <c r="D61" s="80"/>
      <c r="E61" s="80"/>
      <c r="F61" s="42"/>
      <c r="G61" s="50"/>
      <c r="H61" s="99"/>
    </row>
    <row r="62" spans="1:8" s="8" customFormat="1" ht="15">
      <c r="A62" s="104">
        <v>1</v>
      </c>
      <c r="B62" s="36" t="s">
        <v>182</v>
      </c>
      <c r="C62" s="535" t="s">
        <v>187</v>
      </c>
      <c r="D62" s="535"/>
      <c r="E62" s="535"/>
      <c r="F62" s="535"/>
      <c r="G62" s="535"/>
      <c r="H62" s="535"/>
    </row>
    <row r="63" spans="1:8" s="8" customFormat="1" ht="15">
      <c r="A63" s="104">
        <v>2</v>
      </c>
      <c r="B63" s="36" t="s">
        <v>183</v>
      </c>
      <c r="C63" s="565" t="s">
        <v>185</v>
      </c>
      <c r="D63" s="565"/>
      <c r="E63" s="565"/>
      <c r="F63" s="565"/>
      <c r="G63" s="565"/>
      <c r="H63" s="565"/>
    </row>
    <row r="64" spans="1:8" ht="15.5">
      <c r="A64" s="107"/>
      <c r="B64" s="130"/>
      <c r="C64" s="126"/>
      <c r="D64" s="127"/>
      <c r="E64" s="127"/>
      <c r="F64" s="131"/>
      <c r="G64" s="131"/>
      <c r="H64" s="128"/>
    </row>
    <row r="65" spans="1:8" s="8" customFormat="1" ht="15">
      <c r="A65" s="105"/>
      <c r="B65" s="106"/>
      <c r="C65" s="107"/>
      <c r="D65" s="107"/>
      <c r="E65" s="107"/>
      <c r="F65" s="107"/>
      <c r="G65" s="107"/>
      <c r="H65" s="111"/>
    </row>
    <row r="66" spans="1:8" ht="15.5">
      <c r="A66" s="113" t="s">
        <v>179</v>
      </c>
      <c r="B66" s="114"/>
      <c r="C66" s="114"/>
      <c r="D66" s="115"/>
      <c r="E66" s="115"/>
      <c r="F66" s="114"/>
      <c r="G66" s="114"/>
      <c r="H66" s="114"/>
    </row>
    <row r="67" spans="1:8">
      <c r="A67" s="471" t="s">
        <v>2</v>
      </c>
      <c r="B67" s="471" t="s">
        <v>3</v>
      </c>
      <c r="C67" s="455" t="s">
        <v>4</v>
      </c>
      <c r="D67" s="473" t="s">
        <v>5</v>
      </c>
      <c r="E67" s="473"/>
      <c r="F67" s="471" t="s">
        <v>111</v>
      </c>
      <c r="G67" s="471"/>
      <c r="H67" s="455" t="s">
        <v>66</v>
      </c>
    </row>
    <row r="68" spans="1:8">
      <c r="A68" s="471"/>
      <c r="B68" s="471"/>
      <c r="C68" s="455"/>
      <c r="D68" s="82" t="s">
        <v>8</v>
      </c>
      <c r="E68" s="82" t="s">
        <v>9</v>
      </c>
      <c r="F68" s="471"/>
      <c r="G68" s="471"/>
      <c r="H68" s="455"/>
    </row>
    <row r="69" spans="1:8" ht="15.5">
      <c r="A69" s="68" t="s">
        <v>10</v>
      </c>
      <c r="B69" s="69" t="s">
        <v>11</v>
      </c>
      <c r="C69" s="57"/>
      <c r="D69" s="83"/>
      <c r="E69" s="83"/>
      <c r="F69" s="474" t="s">
        <v>112</v>
      </c>
      <c r="G69" s="474"/>
      <c r="H69" s="112"/>
    </row>
    <row r="70" spans="1:8" ht="46.5">
      <c r="A70" s="48">
        <v>1</v>
      </c>
      <c r="B70" s="15" t="s">
        <v>138</v>
      </c>
      <c r="C70" s="44" t="s">
        <v>12</v>
      </c>
      <c r="D70" s="80"/>
      <c r="E70" s="80"/>
      <c r="F70" s="426"/>
      <c r="G70" s="426"/>
      <c r="H70" s="37"/>
    </row>
    <row r="71" spans="1:8" ht="28.5" customHeight="1">
      <c r="A71" s="44">
        <v>2</v>
      </c>
      <c r="B71" s="15" t="s">
        <v>139</v>
      </c>
      <c r="C71" s="44" t="s">
        <v>12</v>
      </c>
      <c r="D71" s="80"/>
      <c r="E71" s="80"/>
      <c r="F71" s="428"/>
      <c r="G71" s="429"/>
      <c r="H71" s="37"/>
    </row>
    <row r="72" spans="1:8" ht="15.5">
      <c r="A72" s="44">
        <v>3</v>
      </c>
      <c r="B72" s="15" t="s">
        <v>140</v>
      </c>
      <c r="C72" s="44" t="s">
        <v>12</v>
      </c>
      <c r="D72" s="84"/>
      <c r="E72" s="84"/>
      <c r="F72" s="428"/>
      <c r="G72" s="429"/>
      <c r="H72" s="37"/>
    </row>
    <row r="73" spans="1:8" ht="15.5">
      <c r="A73" s="48">
        <v>4</v>
      </c>
      <c r="B73" s="53" t="s">
        <v>141</v>
      </c>
      <c r="C73" s="44" t="s">
        <v>12</v>
      </c>
      <c r="D73" s="84"/>
      <c r="E73" s="84"/>
      <c r="F73" s="428"/>
      <c r="G73" s="429"/>
      <c r="H73" s="37"/>
    </row>
    <row r="74" spans="1:8" ht="46.5">
      <c r="A74" s="48">
        <v>5</v>
      </c>
      <c r="B74" s="15" t="s">
        <v>142</v>
      </c>
      <c r="C74" s="44" t="s">
        <v>12</v>
      </c>
      <c r="D74" s="80"/>
      <c r="E74" s="80"/>
      <c r="F74" s="426"/>
      <c r="G74" s="426"/>
      <c r="H74" s="37"/>
    </row>
    <row r="75" spans="1:8" ht="31">
      <c r="A75" s="48">
        <v>6</v>
      </c>
      <c r="B75" s="15" t="s">
        <v>168</v>
      </c>
      <c r="C75" s="44" t="s">
        <v>39</v>
      </c>
      <c r="D75" s="80"/>
      <c r="E75" s="80"/>
      <c r="F75" s="538" t="s">
        <v>169</v>
      </c>
      <c r="G75" s="426"/>
      <c r="H75" s="37"/>
    </row>
    <row r="76" spans="1:8" ht="15.5">
      <c r="A76" s="35" t="s">
        <v>13</v>
      </c>
      <c r="B76" s="36" t="s">
        <v>14</v>
      </c>
      <c r="C76" s="50"/>
      <c r="D76" s="85"/>
      <c r="E76" s="85"/>
      <c r="F76" s="426"/>
      <c r="G76" s="426"/>
      <c r="H76" s="37"/>
    </row>
    <row r="77" spans="1:8" ht="31">
      <c r="A77" s="44">
        <v>1</v>
      </c>
      <c r="B77" s="15" t="s">
        <v>162</v>
      </c>
      <c r="C77" s="44" t="s">
        <v>12</v>
      </c>
      <c r="D77" s="80"/>
      <c r="E77" s="80"/>
      <c r="F77" s="426"/>
      <c r="G77" s="426"/>
      <c r="H77" s="37"/>
    </row>
    <row r="78" spans="1:8" ht="31">
      <c r="A78" s="44">
        <v>2</v>
      </c>
      <c r="B78" s="15" t="s">
        <v>143</v>
      </c>
      <c r="C78" s="44" t="s">
        <v>12</v>
      </c>
      <c r="D78" s="85"/>
      <c r="E78" s="85"/>
      <c r="F78" s="538" t="s">
        <v>161</v>
      </c>
      <c r="G78" s="426"/>
      <c r="H78" s="37"/>
    </row>
    <row r="79" spans="1:8" ht="31">
      <c r="A79" s="44">
        <v>3</v>
      </c>
      <c r="B79" s="53" t="s">
        <v>144</v>
      </c>
      <c r="C79" s="44" t="s">
        <v>12</v>
      </c>
      <c r="D79" s="84"/>
      <c r="E79" s="84"/>
      <c r="F79" s="538" t="s">
        <v>160</v>
      </c>
      <c r="G79" s="426"/>
      <c r="H79" s="37"/>
    </row>
    <row r="80" spans="1:8" ht="31">
      <c r="A80" s="44">
        <v>4</v>
      </c>
      <c r="B80" s="53" t="s">
        <v>159</v>
      </c>
      <c r="C80" s="44" t="s">
        <v>12</v>
      </c>
      <c r="D80" s="129"/>
      <c r="E80" s="129"/>
      <c r="F80" s="476" t="s">
        <v>163</v>
      </c>
      <c r="G80" s="477"/>
      <c r="H80" s="50"/>
    </row>
    <row r="81" spans="1:8" s="70" customFormat="1" ht="20.25" customHeight="1">
      <c r="A81" s="100" t="s">
        <v>24</v>
      </c>
      <c r="B81" s="101"/>
      <c r="C81" s="101"/>
      <c r="D81" s="102"/>
      <c r="E81" s="102"/>
      <c r="F81" s="101"/>
      <c r="G81" s="101"/>
      <c r="H81" s="103"/>
    </row>
    <row r="82" spans="1:8" ht="15">
      <c r="A82" s="446" t="s">
        <v>178</v>
      </c>
      <c r="B82" s="447"/>
      <c r="C82" s="447"/>
      <c r="D82" s="447"/>
      <c r="E82" s="447"/>
      <c r="F82" s="447"/>
      <c r="G82" s="447"/>
      <c r="H82" s="448"/>
    </row>
    <row r="83" spans="1:8" ht="15.75" customHeight="1">
      <c r="A83" s="525" t="s">
        <v>2</v>
      </c>
      <c r="B83" s="525" t="s">
        <v>3</v>
      </c>
      <c r="C83" s="516" t="s">
        <v>4</v>
      </c>
      <c r="D83" s="558" t="s">
        <v>5</v>
      </c>
      <c r="E83" s="558"/>
      <c r="F83" s="525" t="s">
        <v>6</v>
      </c>
      <c r="G83" s="516" t="s">
        <v>7</v>
      </c>
      <c r="H83" s="516" t="s">
        <v>20</v>
      </c>
    </row>
    <row r="84" spans="1:8">
      <c r="A84" s="525"/>
      <c r="B84" s="525"/>
      <c r="C84" s="516"/>
      <c r="D84" s="26" t="s">
        <v>8</v>
      </c>
      <c r="E84" s="26" t="s">
        <v>9</v>
      </c>
      <c r="F84" s="525"/>
      <c r="G84" s="516"/>
      <c r="H84" s="516"/>
    </row>
    <row r="85" spans="1:8" ht="15.5">
      <c r="A85" s="5" t="s">
        <v>10</v>
      </c>
      <c r="B85" s="6" t="s">
        <v>11</v>
      </c>
      <c r="C85" s="9" t="s">
        <v>12</v>
      </c>
      <c r="D85" s="27"/>
      <c r="E85" s="27"/>
      <c r="F85" s="4"/>
      <c r="G85" s="4"/>
      <c r="H85" s="4"/>
    </row>
    <row r="86" spans="1:8" ht="15.5">
      <c r="A86" s="10">
        <v>1</v>
      </c>
      <c r="B86" s="7" t="s">
        <v>44</v>
      </c>
      <c r="C86" s="9"/>
      <c r="D86" s="24"/>
      <c r="E86" s="24"/>
      <c r="F86" s="16"/>
      <c r="G86" s="17"/>
      <c r="H86" s="9"/>
    </row>
    <row r="87" spans="1:8" ht="15.5">
      <c r="A87" s="10">
        <v>2</v>
      </c>
      <c r="B87" s="7" t="s">
        <v>42</v>
      </c>
      <c r="C87" s="9"/>
      <c r="D87" s="24"/>
      <c r="E87" s="24"/>
      <c r="F87" s="11"/>
      <c r="G87" s="11"/>
      <c r="H87" s="9"/>
    </row>
    <row r="88" spans="1:8" ht="15.5">
      <c r="A88" s="10">
        <v>3</v>
      </c>
      <c r="B88" s="7" t="s">
        <v>43</v>
      </c>
      <c r="C88" s="9"/>
      <c r="D88" s="24"/>
      <c r="E88" s="24"/>
      <c r="F88" s="11"/>
      <c r="G88" s="11"/>
      <c r="H88" s="7"/>
    </row>
    <row r="89" spans="1:8" ht="31">
      <c r="A89" s="10">
        <v>4</v>
      </c>
      <c r="B89" s="7" t="s">
        <v>45</v>
      </c>
      <c r="C89" s="9"/>
      <c r="D89" s="24"/>
      <c r="E89" s="24"/>
      <c r="F89" s="11"/>
      <c r="G89" s="11"/>
      <c r="H89" s="7"/>
    </row>
    <row r="90" spans="1:8" ht="31">
      <c r="A90" s="10">
        <v>5</v>
      </c>
      <c r="B90" s="32" t="s">
        <v>47</v>
      </c>
      <c r="C90" s="10" t="s">
        <v>39</v>
      </c>
      <c r="D90" s="24"/>
      <c r="E90" s="24"/>
      <c r="F90" s="11"/>
      <c r="G90" s="11"/>
      <c r="H90" s="12"/>
    </row>
    <row r="91" spans="1:8" ht="15.5">
      <c r="A91" s="10">
        <v>6</v>
      </c>
      <c r="B91" s="16" t="s">
        <v>112</v>
      </c>
      <c r="C91" s="9"/>
      <c r="D91" s="24"/>
      <c r="E91" s="24"/>
      <c r="F91" s="11"/>
      <c r="G91" s="11"/>
      <c r="H91" s="12"/>
    </row>
    <row r="92" spans="1:8" s="19" customFormat="1" ht="19.5" customHeight="1">
      <c r="A92" s="18">
        <v>7</v>
      </c>
      <c r="B92" s="16" t="s">
        <v>151</v>
      </c>
      <c r="C92" s="9"/>
      <c r="D92" s="24"/>
      <c r="E92" s="24"/>
      <c r="F92" s="11"/>
      <c r="G92" s="21"/>
      <c r="H92" s="21"/>
    </row>
    <row r="93" spans="1:8" ht="19.5" customHeight="1">
      <c r="A93" s="5" t="s">
        <v>13</v>
      </c>
      <c r="B93" s="6" t="s">
        <v>14</v>
      </c>
      <c r="C93" s="9"/>
      <c r="D93" s="28"/>
      <c r="E93" s="28"/>
      <c r="F93" s="11"/>
      <c r="G93" s="11"/>
      <c r="H93" s="4"/>
    </row>
    <row r="94" spans="1:8" s="8" customFormat="1" ht="124">
      <c r="A94" s="10">
        <v>1</v>
      </c>
      <c r="B94" s="30" t="s">
        <v>37</v>
      </c>
      <c r="C94" s="10" t="s">
        <v>12</v>
      </c>
      <c r="D94" s="24"/>
      <c r="E94" s="24"/>
      <c r="F94" s="11"/>
      <c r="G94" s="17"/>
      <c r="H94" s="14"/>
    </row>
    <row r="95" spans="1:8" ht="15.5">
      <c r="A95" s="10">
        <v>2</v>
      </c>
      <c r="B95" s="31" t="s">
        <v>41</v>
      </c>
      <c r="C95" s="9"/>
      <c r="D95" s="24"/>
      <c r="E95" s="24"/>
      <c r="F95" s="11"/>
      <c r="G95" s="17"/>
      <c r="H95" s="14"/>
    </row>
    <row r="96" spans="1:8" s="8" customFormat="1" ht="15.5">
      <c r="A96" s="36" t="s">
        <v>174</v>
      </c>
      <c r="B96" s="36" t="s">
        <v>173</v>
      </c>
      <c r="C96" s="49"/>
      <c r="D96" s="80"/>
      <c r="E96" s="80"/>
      <c r="F96" s="42"/>
      <c r="G96" s="50"/>
      <c r="H96" s="99"/>
    </row>
    <row r="97" spans="1:8" s="8" customFormat="1" ht="15">
      <c r="A97" s="104">
        <v>1</v>
      </c>
      <c r="B97" s="36" t="s">
        <v>182</v>
      </c>
      <c r="C97" s="566" t="s">
        <v>188</v>
      </c>
      <c r="D97" s="567"/>
      <c r="E97" s="567"/>
      <c r="F97" s="567"/>
      <c r="G97" s="567"/>
      <c r="H97" s="567"/>
    </row>
    <row r="98" spans="1:8" s="8" customFormat="1" ht="15">
      <c r="A98" s="104">
        <v>2</v>
      </c>
      <c r="B98" s="36" t="s">
        <v>183</v>
      </c>
      <c r="C98" s="566"/>
      <c r="D98" s="567"/>
      <c r="E98" s="567"/>
      <c r="F98" s="567"/>
      <c r="G98" s="567"/>
      <c r="H98" s="567"/>
    </row>
    <row r="99" spans="1:8" s="40" customFormat="1" ht="15.5">
      <c r="A99" s="110" t="s">
        <v>110</v>
      </c>
      <c r="B99" s="108"/>
      <c r="C99" s="108"/>
      <c r="D99" s="109"/>
      <c r="E99" s="109"/>
      <c r="F99" s="108"/>
      <c r="G99" s="108"/>
      <c r="H99" s="122"/>
    </row>
    <row r="100" spans="1:8" s="40" customFormat="1">
      <c r="A100" s="437" t="s">
        <v>2</v>
      </c>
      <c r="B100" s="523" t="s">
        <v>3</v>
      </c>
      <c r="C100" s="441" t="s">
        <v>4</v>
      </c>
      <c r="D100" s="443" t="s">
        <v>5</v>
      </c>
      <c r="E100" s="443"/>
      <c r="F100" s="437" t="s">
        <v>111</v>
      </c>
      <c r="G100" s="437"/>
      <c r="H100" s="444" t="s">
        <v>66</v>
      </c>
    </row>
    <row r="101" spans="1:8" s="40" customFormat="1">
      <c r="A101" s="438"/>
      <c r="B101" s="524"/>
      <c r="C101" s="442"/>
      <c r="D101" s="123" t="s">
        <v>8</v>
      </c>
      <c r="E101" s="123" t="s">
        <v>9</v>
      </c>
      <c r="F101" s="438"/>
      <c r="G101" s="438"/>
      <c r="H101" s="445"/>
    </row>
    <row r="102" spans="1:8" s="40" customFormat="1" ht="15.5">
      <c r="A102" s="35" t="s">
        <v>10</v>
      </c>
      <c r="B102" s="36" t="s">
        <v>11</v>
      </c>
      <c r="C102" s="44"/>
      <c r="D102" s="79"/>
      <c r="E102" s="79"/>
      <c r="F102" s="426" t="s">
        <v>189</v>
      </c>
      <c r="G102" s="426"/>
      <c r="H102" s="37"/>
    </row>
    <row r="103" spans="1:8" ht="15.5">
      <c r="A103" s="35" t="s">
        <v>13</v>
      </c>
      <c r="B103" s="72" t="s">
        <v>14</v>
      </c>
      <c r="C103" s="9"/>
      <c r="D103" s="28"/>
      <c r="E103" s="28"/>
      <c r="F103" s="426" t="s">
        <v>189</v>
      </c>
      <c r="G103" s="426"/>
      <c r="H103" s="4"/>
    </row>
    <row r="104" spans="1:8" ht="16" thickBot="1">
      <c r="A104" s="124"/>
      <c r="B104" s="125"/>
      <c r="C104" s="126"/>
      <c r="D104" s="127"/>
      <c r="E104" s="127"/>
      <c r="F104" s="33"/>
      <c r="G104" s="33"/>
      <c r="H104" s="128"/>
    </row>
    <row r="105" spans="1:8" ht="20.25" customHeight="1" thickTop="1">
      <c r="A105" s="118" t="s">
        <v>35</v>
      </c>
      <c r="B105" s="119"/>
      <c r="C105" s="119"/>
      <c r="D105" s="120"/>
      <c r="E105" s="120"/>
      <c r="F105" s="119"/>
      <c r="G105" s="119"/>
      <c r="H105" s="121"/>
    </row>
    <row r="106" spans="1:8" ht="15">
      <c r="A106" s="446" t="s">
        <v>178</v>
      </c>
      <c r="B106" s="447"/>
      <c r="C106" s="447"/>
      <c r="D106" s="447"/>
      <c r="E106" s="447"/>
      <c r="F106" s="447"/>
      <c r="G106" s="447"/>
      <c r="H106" s="448"/>
    </row>
    <row r="107" spans="1:8" s="34" customFormat="1" ht="15.5">
      <c r="A107" s="449" t="s">
        <v>2</v>
      </c>
      <c r="B107" s="540" t="s">
        <v>3</v>
      </c>
      <c r="C107" s="449" t="s">
        <v>4</v>
      </c>
      <c r="D107" s="453" t="s">
        <v>5</v>
      </c>
      <c r="E107" s="454"/>
      <c r="F107" s="540" t="s">
        <v>6</v>
      </c>
      <c r="G107" s="449" t="s">
        <v>7</v>
      </c>
      <c r="H107" s="449" t="s">
        <v>66</v>
      </c>
    </row>
    <row r="108" spans="1:8" s="34" customFormat="1" ht="15.5">
      <c r="A108" s="450"/>
      <c r="B108" s="541"/>
      <c r="C108" s="450"/>
      <c r="D108" s="86" t="s">
        <v>8</v>
      </c>
      <c r="E108" s="86" t="s">
        <v>9</v>
      </c>
      <c r="F108" s="541"/>
      <c r="G108" s="450"/>
      <c r="H108" s="450"/>
    </row>
    <row r="109" spans="1:8" s="40" customFormat="1" ht="15.5">
      <c r="A109" s="35" t="s">
        <v>10</v>
      </c>
      <c r="B109" s="36" t="s">
        <v>11</v>
      </c>
      <c r="C109" s="37"/>
      <c r="D109" s="79"/>
      <c r="E109" s="79"/>
      <c r="F109" s="37"/>
      <c r="G109" s="38"/>
      <c r="H109" s="39"/>
    </row>
    <row r="110" spans="1:8" s="40" customFormat="1" ht="46.5">
      <c r="A110" s="41">
        <v>1</v>
      </c>
      <c r="B110" s="42" t="s">
        <v>67</v>
      </c>
      <c r="C110" s="43" t="s">
        <v>12</v>
      </c>
      <c r="D110" s="87" t="s">
        <v>68</v>
      </c>
      <c r="E110" s="87" t="s">
        <v>68</v>
      </c>
      <c r="F110" s="45" t="s">
        <v>69</v>
      </c>
      <c r="G110" s="46" t="s">
        <v>70</v>
      </c>
      <c r="H110" s="39"/>
    </row>
    <row r="111" spans="1:8" s="40" customFormat="1" ht="46.5">
      <c r="A111" s="41">
        <v>2</v>
      </c>
      <c r="B111" s="42" t="s">
        <v>71</v>
      </c>
      <c r="C111" s="43" t="s">
        <v>12</v>
      </c>
      <c r="D111" s="87" t="s">
        <v>68</v>
      </c>
      <c r="E111" s="87" t="s">
        <v>68</v>
      </c>
      <c r="F111" s="45" t="s">
        <v>72</v>
      </c>
      <c r="G111" s="46" t="s">
        <v>70</v>
      </c>
      <c r="H111" s="39"/>
    </row>
    <row r="112" spans="1:8" s="40" customFormat="1" ht="31">
      <c r="A112" s="41">
        <v>3</v>
      </c>
      <c r="B112" s="47" t="s">
        <v>73</v>
      </c>
      <c r="C112" s="43"/>
      <c r="D112" s="87"/>
      <c r="E112" s="87"/>
      <c r="F112" s="45" t="s">
        <v>74</v>
      </c>
      <c r="G112" s="46"/>
      <c r="H112" s="39"/>
    </row>
    <row r="113" spans="1:8" s="52" customFormat="1" ht="46.5" customHeight="1">
      <c r="A113" s="48" t="s">
        <v>75</v>
      </c>
      <c r="B113" s="16" t="s">
        <v>76</v>
      </c>
      <c r="C113" s="43" t="s">
        <v>39</v>
      </c>
      <c r="D113" s="93">
        <v>45712</v>
      </c>
      <c r="E113" s="93">
        <v>45712</v>
      </c>
      <c r="F113" s="45" t="s">
        <v>77</v>
      </c>
      <c r="G113" s="50" t="s">
        <v>70</v>
      </c>
      <c r="H113" s="51"/>
    </row>
    <row r="114" spans="1:8" s="52" customFormat="1" ht="46.5">
      <c r="A114" s="44" t="s">
        <v>78</v>
      </c>
      <c r="B114" s="15" t="s">
        <v>79</v>
      </c>
      <c r="C114" s="43" t="s">
        <v>39</v>
      </c>
      <c r="D114" s="96">
        <v>45714</v>
      </c>
      <c r="E114" s="96">
        <v>45714</v>
      </c>
      <c r="F114" s="45" t="s">
        <v>80</v>
      </c>
      <c r="G114" s="50" t="s">
        <v>81</v>
      </c>
      <c r="H114" s="51"/>
    </row>
    <row r="115" spans="1:8" s="52" customFormat="1" ht="46.5">
      <c r="A115" s="48" t="s">
        <v>82</v>
      </c>
      <c r="B115" s="53" t="s">
        <v>83</v>
      </c>
      <c r="C115" s="43" t="s">
        <v>39</v>
      </c>
      <c r="D115" s="96">
        <v>45714</v>
      </c>
      <c r="E115" s="96">
        <v>45714</v>
      </c>
      <c r="F115" s="54" t="s">
        <v>84</v>
      </c>
      <c r="G115" s="50" t="s">
        <v>81</v>
      </c>
      <c r="H115" s="51"/>
    </row>
    <row r="116" spans="1:8" s="52" customFormat="1" ht="31">
      <c r="A116" s="44" t="s">
        <v>85</v>
      </c>
      <c r="B116" s="53" t="s">
        <v>86</v>
      </c>
      <c r="C116" s="43" t="s">
        <v>39</v>
      </c>
      <c r="D116" s="96">
        <v>45715</v>
      </c>
      <c r="E116" s="96">
        <v>45715</v>
      </c>
      <c r="F116" s="45" t="s">
        <v>87</v>
      </c>
      <c r="G116" s="50" t="s">
        <v>70</v>
      </c>
      <c r="H116" s="51"/>
    </row>
    <row r="117" spans="1:8" s="52" customFormat="1" ht="33.75" customHeight="1">
      <c r="A117" s="48" t="s">
        <v>88</v>
      </c>
      <c r="B117" s="53" t="s">
        <v>89</v>
      </c>
      <c r="C117" s="43" t="s">
        <v>39</v>
      </c>
      <c r="D117" s="96">
        <v>45723</v>
      </c>
      <c r="E117" s="96">
        <v>45743</v>
      </c>
      <c r="F117" s="55" t="s">
        <v>90</v>
      </c>
      <c r="G117" s="42" t="s">
        <v>91</v>
      </c>
      <c r="H117" s="51"/>
    </row>
    <row r="118" spans="1:8" s="52" customFormat="1" ht="22.5" customHeight="1">
      <c r="A118" s="44" t="s">
        <v>92</v>
      </c>
      <c r="B118" s="53" t="s">
        <v>93</v>
      </c>
      <c r="C118" s="43" t="s">
        <v>39</v>
      </c>
      <c r="D118" s="96">
        <v>45726</v>
      </c>
      <c r="E118" s="96">
        <v>45726</v>
      </c>
      <c r="F118" s="54" t="s">
        <v>84</v>
      </c>
      <c r="G118" s="50" t="s">
        <v>81</v>
      </c>
      <c r="H118" s="51"/>
    </row>
    <row r="119" spans="1:8" s="52" customFormat="1" ht="42.75" customHeight="1">
      <c r="A119" s="48" t="s">
        <v>94</v>
      </c>
      <c r="B119" s="53" t="s">
        <v>95</v>
      </c>
      <c r="C119" s="43" t="s">
        <v>39</v>
      </c>
      <c r="D119" s="96">
        <v>45728</v>
      </c>
      <c r="E119" s="96">
        <v>45728</v>
      </c>
      <c r="F119" s="54" t="s">
        <v>84</v>
      </c>
      <c r="G119" s="50" t="s">
        <v>81</v>
      </c>
      <c r="H119" s="51"/>
    </row>
    <row r="120" spans="1:8" s="52" customFormat="1" ht="69" customHeight="1">
      <c r="A120" s="44" t="s">
        <v>96</v>
      </c>
      <c r="B120" s="15" t="s">
        <v>97</v>
      </c>
      <c r="C120" s="49" t="s">
        <v>39</v>
      </c>
      <c r="D120" s="93">
        <v>45728</v>
      </c>
      <c r="E120" s="93">
        <v>45743</v>
      </c>
      <c r="F120" s="56" t="s">
        <v>98</v>
      </c>
      <c r="G120" s="42" t="s">
        <v>99</v>
      </c>
      <c r="H120" s="51"/>
    </row>
    <row r="121" spans="1:8" s="52" customFormat="1" ht="29.25" customHeight="1">
      <c r="A121" s="44" t="s">
        <v>100</v>
      </c>
      <c r="B121" s="15" t="s">
        <v>101</v>
      </c>
      <c r="C121" s="49" t="s">
        <v>39</v>
      </c>
      <c r="D121" s="93">
        <v>45730</v>
      </c>
      <c r="E121" s="93">
        <v>45730</v>
      </c>
      <c r="F121" s="56" t="s">
        <v>102</v>
      </c>
      <c r="G121" s="50" t="s">
        <v>81</v>
      </c>
      <c r="H121" s="51"/>
    </row>
    <row r="122" spans="1:8" s="52" customFormat="1" ht="15.5">
      <c r="A122" s="57"/>
      <c r="B122" s="53"/>
      <c r="C122" s="43"/>
      <c r="D122" s="88"/>
      <c r="E122" s="88"/>
      <c r="F122" s="54"/>
      <c r="G122" s="50"/>
      <c r="H122" s="51"/>
    </row>
    <row r="123" spans="1:8" s="40" customFormat="1" ht="15.5">
      <c r="A123" s="58" t="s">
        <v>13</v>
      </c>
      <c r="B123" s="59" t="s">
        <v>14</v>
      </c>
      <c r="C123" s="60"/>
      <c r="D123" s="88"/>
      <c r="E123" s="88"/>
      <c r="F123" s="45"/>
      <c r="G123" s="56"/>
      <c r="H123" s="61"/>
    </row>
    <row r="124" spans="1:8" s="40" customFormat="1" ht="93">
      <c r="A124" s="44">
        <v>1</v>
      </c>
      <c r="B124" s="73" t="s">
        <v>103</v>
      </c>
      <c r="C124" s="44" t="s">
        <v>12</v>
      </c>
      <c r="D124" s="97">
        <v>45708</v>
      </c>
      <c r="E124" s="97">
        <v>45709</v>
      </c>
      <c r="F124" s="56" t="s">
        <v>104</v>
      </c>
      <c r="G124" s="50" t="s">
        <v>70</v>
      </c>
      <c r="H124" s="98">
        <v>55291000</v>
      </c>
    </row>
    <row r="125" spans="1:8" s="52" customFormat="1" ht="81.75" customHeight="1">
      <c r="A125" s="44">
        <v>2</v>
      </c>
      <c r="B125" s="73" t="s">
        <v>105</v>
      </c>
      <c r="C125" s="49" t="s">
        <v>12</v>
      </c>
      <c r="D125" s="93">
        <v>45720</v>
      </c>
      <c r="E125" s="93">
        <v>45744</v>
      </c>
      <c r="F125" s="56" t="s">
        <v>106</v>
      </c>
      <c r="G125" s="50" t="s">
        <v>70</v>
      </c>
      <c r="H125" s="51" t="s">
        <v>107</v>
      </c>
    </row>
    <row r="126" spans="1:8" s="52" customFormat="1" ht="31">
      <c r="A126" s="44">
        <v>3</v>
      </c>
      <c r="B126" s="15" t="s">
        <v>108</v>
      </c>
      <c r="C126" s="49" t="s">
        <v>39</v>
      </c>
      <c r="D126" s="93">
        <v>45734</v>
      </c>
      <c r="E126" s="93">
        <v>45734</v>
      </c>
      <c r="F126" s="56" t="s">
        <v>109</v>
      </c>
      <c r="G126" s="50"/>
      <c r="H126" s="51"/>
    </row>
    <row r="127" spans="1:8" s="52" customFormat="1" ht="15.5">
      <c r="A127" s="44"/>
      <c r="B127" s="15" t="s">
        <v>16</v>
      </c>
      <c r="C127" s="49"/>
      <c r="D127" s="74"/>
      <c r="E127" s="74"/>
      <c r="F127" s="42"/>
      <c r="G127" s="50"/>
      <c r="H127" s="51"/>
    </row>
    <row r="128" spans="1:8" s="52" customFormat="1" ht="15.5">
      <c r="A128" s="44"/>
      <c r="B128" s="15" t="s">
        <v>16</v>
      </c>
      <c r="C128" s="49"/>
      <c r="D128" s="74"/>
      <c r="E128" s="74"/>
      <c r="F128" s="42"/>
      <c r="G128" s="50"/>
      <c r="H128" s="51"/>
    </row>
    <row r="129" spans="1:8" s="8" customFormat="1" ht="15.5">
      <c r="A129" s="36" t="s">
        <v>174</v>
      </c>
      <c r="B129" s="36" t="s">
        <v>173</v>
      </c>
      <c r="C129" s="49"/>
      <c r="D129" s="80"/>
      <c r="E129" s="80"/>
      <c r="F129" s="42"/>
      <c r="G129" s="50"/>
      <c r="H129" s="99"/>
    </row>
    <row r="130" spans="1:8" s="8" customFormat="1" ht="15">
      <c r="A130" s="104">
        <v>1</v>
      </c>
      <c r="B130" s="36" t="s">
        <v>182</v>
      </c>
      <c r="C130" s="535" t="s">
        <v>186</v>
      </c>
      <c r="D130" s="535"/>
      <c r="E130" s="535"/>
      <c r="F130" s="535"/>
      <c r="G130" s="535"/>
      <c r="H130" s="535"/>
    </row>
    <row r="131" spans="1:8" s="8" customFormat="1" ht="15">
      <c r="A131" s="104">
        <v>2</v>
      </c>
      <c r="B131" s="36" t="s">
        <v>183</v>
      </c>
      <c r="C131" s="565" t="s">
        <v>184</v>
      </c>
      <c r="D131" s="565"/>
      <c r="E131" s="565"/>
      <c r="F131" s="565"/>
      <c r="G131" s="565"/>
      <c r="H131" s="565"/>
    </row>
    <row r="132" spans="1:8" s="40" customFormat="1" ht="15.5">
      <c r="A132" s="110" t="s">
        <v>179</v>
      </c>
      <c r="B132" s="108"/>
      <c r="C132" s="108"/>
      <c r="D132" s="109"/>
      <c r="E132" s="109"/>
      <c r="F132" s="108"/>
      <c r="G132" s="108"/>
      <c r="H132" s="122"/>
    </row>
    <row r="133" spans="1:8" s="40" customFormat="1">
      <c r="A133" s="437" t="s">
        <v>2</v>
      </c>
      <c r="B133" s="523" t="s">
        <v>3</v>
      </c>
      <c r="C133" s="441" t="s">
        <v>4</v>
      </c>
      <c r="D133" s="443" t="s">
        <v>5</v>
      </c>
      <c r="E133" s="443"/>
      <c r="F133" s="437" t="s">
        <v>111</v>
      </c>
      <c r="G133" s="437"/>
      <c r="H133" s="444" t="s">
        <v>66</v>
      </c>
    </row>
    <row r="134" spans="1:8" s="40" customFormat="1">
      <c r="A134" s="438"/>
      <c r="B134" s="524"/>
      <c r="C134" s="442"/>
      <c r="D134" s="123" t="s">
        <v>8</v>
      </c>
      <c r="E134" s="123" t="s">
        <v>9</v>
      </c>
      <c r="F134" s="438"/>
      <c r="G134" s="438"/>
      <c r="H134" s="445"/>
    </row>
    <row r="135" spans="1:8" s="40" customFormat="1" ht="15.5">
      <c r="A135" s="35" t="s">
        <v>10</v>
      </c>
      <c r="B135" s="36" t="s">
        <v>11</v>
      </c>
      <c r="C135" s="44"/>
      <c r="D135" s="79"/>
      <c r="E135" s="79"/>
      <c r="F135" s="426" t="s">
        <v>112</v>
      </c>
      <c r="G135" s="426"/>
      <c r="H135" s="37"/>
    </row>
    <row r="136" spans="1:8" s="40" customFormat="1" ht="15.5">
      <c r="A136" s="48">
        <v>1</v>
      </c>
      <c r="B136" s="42" t="s">
        <v>113</v>
      </c>
      <c r="C136" s="44" t="s">
        <v>12</v>
      </c>
      <c r="D136" s="79"/>
      <c r="E136" s="79"/>
      <c r="F136" s="428"/>
      <c r="G136" s="429"/>
      <c r="H136" s="37"/>
    </row>
    <row r="137" spans="1:8" s="40" customFormat="1" ht="15.5">
      <c r="A137" s="48">
        <v>2</v>
      </c>
      <c r="B137" s="42" t="s">
        <v>114</v>
      </c>
      <c r="C137" s="44" t="s">
        <v>12</v>
      </c>
      <c r="D137" s="89"/>
      <c r="E137" s="89"/>
      <c r="F137" s="428"/>
      <c r="G137" s="429"/>
      <c r="H137" s="37"/>
    </row>
    <row r="138" spans="1:8" s="40" customFormat="1" ht="15.5">
      <c r="A138" s="48">
        <v>3</v>
      </c>
      <c r="B138" s="42" t="s">
        <v>73</v>
      </c>
      <c r="C138" s="44" t="s">
        <v>12</v>
      </c>
      <c r="D138" s="89"/>
      <c r="E138" s="89"/>
      <c r="F138" s="428"/>
      <c r="G138" s="429"/>
      <c r="H138" s="37"/>
    </row>
    <row r="139" spans="1:8" s="40" customFormat="1" ht="31">
      <c r="A139" s="48">
        <v>4</v>
      </c>
      <c r="B139" s="42" t="s">
        <v>115</v>
      </c>
      <c r="C139" s="44" t="s">
        <v>12</v>
      </c>
      <c r="D139" s="89"/>
      <c r="E139" s="89"/>
      <c r="F139" s="428"/>
      <c r="G139" s="429"/>
      <c r="H139" s="37"/>
    </row>
    <row r="140" spans="1:8" s="40" customFormat="1" ht="31">
      <c r="A140" s="48">
        <v>5</v>
      </c>
      <c r="B140" s="15" t="s">
        <v>108</v>
      </c>
      <c r="C140" s="43" t="s">
        <v>39</v>
      </c>
      <c r="D140" s="84"/>
      <c r="E140" s="84"/>
      <c r="F140" s="424" t="s">
        <v>116</v>
      </c>
      <c r="G140" s="425"/>
      <c r="H140" s="37"/>
    </row>
    <row r="141" spans="1:8" s="40" customFormat="1" ht="15.5">
      <c r="A141" s="35" t="s">
        <v>13</v>
      </c>
      <c r="B141" s="72" t="s">
        <v>14</v>
      </c>
      <c r="C141" s="44"/>
      <c r="D141" s="85"/>
      <c r="E141" s="85"/>
      <c r="F141" s="426"/>
      <c r="G141" s="426"/>
      <c r="H141" s="37"/>
    </row>
    <row r="142" spans="1:8" s="40" customFormat="1" ht="48.75" customHeight="1">
      <c r="A142" s="44">
        <v>1</v>
      </c>
      <c r="B142" s="73" t="s">
        <v>117</v>
      </c>
      <c r="C142" s="44" t="s">
        <v>12</v>
      </c>
      <c r="D142" s="93">
        <v>45752</v>
      </c>
      <c r="E142" s="93">
        <v>45767</v>
      </c>
      <c r="F142" s="422" t="s">
        <v>118</v>
      </c>
      <c r="G142" s="423"/>
      <c r="H142" s="98">
        <v>93830600</v>
      </c>
    </row>
    <row r="143" spans="1:8" s="40" customFormat="1" ht="55.5" customHeight="1">
      <c r="A143" s="44">
        <v>2</v>
      </c>
      <c r="B143" s="73" t="s">
        <v>164</v>
      </c>
      <c r="C143" s="43" t="s">
        <v>39</v>
      </c>
      <c r="D143" s="93">
        <v>45748</v>
      </c>
      <c r="E143" s="74"/>
      <c r="F143" s="422" t="s">
        <v>165</v>
      </c>
      <c r="G143" s="423"/>
      <c r="H143" s="51"/>
    </row>
    <row r="144" spans="1:8" s="40" customFormat="1" ht="63" customHeight="1">
      <c r="A144" s="44">
        <v>3</v>
      </c>
      <c r="B144" s="73" t="s">
        <v>166</v>
      </c>
      <c r="C144" s="44" t="s">
        <v>12</v>
      </c>
      <c r="D144" s="93">
        <v>45740</v>
      </c>
      <c r="E144" s="74"/>
      <c r="F144" s="422" t="s">
        <v>167</v>
      </c>
      <c r="G144" s="423"/>
      <c r="H144" s="98">
        <v>150000000</v>
      </c>
    </row>
    <row r="145" spans="1:10" s="40" customFormat="1" ht="31">
      <c r="A145" s="44">
        <v>4</v>
      </c>
      <c r="B145" s="73" t="s">
        <v>119</v>
      </c>
      <c r="C145" s="44" t="s">
        <v>12</v>
      </c>
      <c r="D145" s="93">
        <v>45736</v>
      </c>
      <c r="E145" s="93">
        <v>45762</v>
      </c>
      <c r="F145" s="422" t="s">
        <v>120</v>
      </c>
      <c r="G145" s="423"/>
      <c r="H145" s="98">
        <f>11880000*2/3</f>
        <v>7920000</v>
      </c>
    </row>
    <row r="146" spans="1:10" ht="20.25" customHeight="1">
      <c r="A146" s="3"/>
      <c r="B146" s="2"/>
      <c r="C146" s="2"/>
      <c r="D146" s="25"/>
      <c r="E146" s="25"/>
      <c r="F146" s="2"/>
      <c r="G146" s="2"/>
      <c r="H146" s="2"/>
    </row>
    <row r="147" spans="1:10" ht="9" customHeight="1"/>
    <row r="148" spans="1:10" ht="17.25" customHeight="1">
      <c r="B148" s="23"/>
      <c r="C148" s="23"/>
      <c r="D148" s="91"/>
      <c r="E148" s="91"/>
      <c r="F148" s="23"/>
      <c r="G148" s="578" t="s">
        <v>145</v>
      </c>
      <c r="H148" s="578"/>
      <c r="I148" s="23"/>
      <c r="J148" s="23"/>
    </row>
    <row r="149" spans="1:10" ht="22.5" customHeight="1">
      <c r="B149" s="576" t="s">
        <v>27</v>
      </c>
      <c r="C149" s="576"/>
      <c r="D149" s="576"/>
      <c r="E149" s="91"/>
      <c r="F149" s="23"/>
      <c r="G149" s="576" t="s">
        <v>15</v>
      </c>
      <c r="H149" s="576"/>
      <c r="I149" s="23"/>
      <c r="J149" s="23"/>
    </row>
    <row r="150" spans="1:10" ht="16.5">
      <c r="B150" s="23"/>
      <c r="C150" s="23"/>
      <c r="D150" s="91"/>
      <c r="E150" s="91"/>
      <c r="F150" s="23"/>
      <c r="G150" s="22"/>
      <c r="H150" s="22"/>
      <c r="I150" s="23"/>
      <c r="J150" s="23"/>
    </row>
    <row r="151" spans="1:10" ht="16.5">
      <c r="B151" s="23"/>
      <c r="C151" s="23"/>
      <c r="D151" s="91"/>
      <c r="E151" s="91"/>
      <c r="F151" s="23"/>
      <c r="G151" s="22"/>
      <c r="H151" s="22"/>
      <c r="I151" s="23"/>
      <c r="J151" s="23"/>
    </row>
    <row r="152" spans="1:10" ht="16.5">
      <c r="B152" s="23"/>
      <c r="C152" s="23"/>
      <c r="D152" s="91"/>
      <c r="E152" s="91"/>
      <c r="F152" s="23"/>
      <c r="G152" s="22"/>
      <c r="H152" s="22"/>
      <c r="I152" s="23"/>
      <c r="J152" s="23"/>
    </row>
    <row r="153" spans="1:10" ht="16.5">
      <c r="B153" s="23"/>
      <c r="C153" s="23"/>
      <c r="D153" s="91"/>
      <c r="E153" s="91"/>
      <c r="F153" s="23"/>
      <c r="G153" s="22"/>
      <c r="H153" s="22"/>
      <c r="I153" s="23"/>
      <c r="J153" s="23"/>
    </row>
    <row r="154" spans="1:10" ht="16.5">
      <c r="B154" s="577" t="s">
        <v>28</v>
      </c>
      <c r="C154" s="577"/>
      <c r="D154" s="577"/>
      <c r="E154" s="91"/>
      <c r="F154" s="23"/>
      <c r="G154" s="577" t="s">
        <v>17</v>
      </c>
      <c r="H154" s="577"/>
      <c r="I154" s="23"/>
      <c r="J154" s="23"/>
    </row>
    <row r="155" spans="1:10" ht="16.5">
      <c r="B155" s="23"/>
      <c r="C155" s="23"/>
      <c r="D155" s="91"/>
      <c r="E155" s="91"/>
      <c r="F155" s="23"/>
      <c r="G155" s="23"/>
      <c r="H155" s="23"/>
      <c r="I155" s="23"/>
      <c r="J155" s="23"/>
    </row>
    <row r="156" spans="1:10" ht="16.5">
      <c r="B156" s="23"/>
      <c r="C156" s="23"/>
      <c r="D156" s="91"/>
      <c r="E156" s="91"/>
      <c r="F156" s="23"/>
      <c r="G156" s="23"/>
      <c r="H156" s="23"/>
      <c r="I156" s="23"/>
      <c r="J156" s="23"/>
    </row>
    <row r="157" spans="1:10" ht="16.5">
      <c r="B157" s="23"/>
      <c r="C157" s="23"/>
      <c r="D157" s="91"/>
      <c r="E157" s="91"/>
      <c r="F157" s="23"/>
      <c r="G157" s="23"/>
      <c r="H157" s="23"/>
      <c r="I157" s="23"/>
      <c r="J157" s="23"/>
    </row>
    <row r="158" spans="1:10" ht="16.5">
      <c r="B158" s="23"/>
      <c r="C158" s="23"/>
      <c r="D158" s="91"/>
      <c r="E158" s="91"/>
      <c r="F158" s="23"/>
      <c r="G158" s="23"/>
      <c r="H158" s="23"/>
      <c r="I158" s="23"/>
      <c r="J158" s="23"/>
    </row>
    <row r="159" spans="1:10" ht="16.5">
      <c r="B159" s="23"/>
      <c r="C159" s="23"/>
      <c r="D159" s="91"/>
      <c r="E159" s="91"/>
      <c r="F159" s="23"/>
      <c r="G159" s="23"/>
      <c r="H159" s="23"/>
      <c r="I159" s="23"/>
      <c r="J159" s="23"/>
    </row>
  </sheetData>
  <mergeCells count="106">
    <mergeCell ref="F143:G143"/>
    <mergeCell ref="F6:F7"/>
    <mergeCell ref="B149:D149"/>
    <mergeCell ref="B154:D154"/>
    <mergeCell ref="G148:H148"/>
    <mergeCell ref="G149:H149"/>
    <mergeCell ref="G154:H154"/>
    <mergeCell ref="F83:F84"/>
    <mergeCell ref="G83:G84"/>
    <mergeCell ref="D44:E44"/>
    <mergeCell ref="F73:G73"/>
    <mergeCell ref="F74:G74"/>
    <mergeCell ref="F76:G76"/>
    <mergeCell ref="F77:G77"/>
    <mergeCell ref="F78:G78"/>
    <mergeCell ref="F79:G79"/>
    <mergeCell ref="F80:G80"/>
    <mergeCell ref="F75:G75"/>
    <mergeCell ref="C63:H63"/>
    <mergeCell ref="F138:G138"/>
    <mergeCell ref="F139:G139"/>
    <mergeCell ref="F140:G140"/>
    <mergeCell ref="F141:G141"/>
    <mergeCell ref="F142:G142"/>
    <mergeCell ref="F145:G145"/>
    <mergeCell ref="H44:H45"/>
    <mergeCell ref="A1:B1"/>
    <mergeCell ref="C1:H1"/>
    <mergeCell ref="A2:B2"/>
    <mergeCell ref="C2:H2"/>
    <mergeCell ref="C4:G4"/>
    <mergeCell ref="F44:F45"/>
    <mergeCell ref="G44:G45"/>
    <mergeCell ref="F38:G38"/>
    <mergeCell ref="F39:G39"/>
    <mergeCell ref="A5:H5"/>
    <mergeCell ref="A33:A34"/>
    <mergeCell ref="B33:B34"/>
    <mergeCell ref="C33:C34"/>
    <mergeCell ref="D33:E33"/>
    <mergeCell ref="F33:G34"/>
    <mergeCell ref="H33:H34"/>
    <mergeCell ref="F35:G35"/>
    <mergeCell ref="G6:G7"/>
    <mergeCell ref="H6:H7"/>
    <mergeCell ref="A6:A7"/>
    <mergeCell ref="B6:B7"/>
    <mergeCell ref="C6:C7"/>
    <mergeCell ref="D6:E6"/>
    <mergeCell ref="A133:A134"/>
    <mergeCell ref="B133:B134"/>
    <mergeCell ref="C133:C134"/>
    <mergeCell ref="D133:E133"/>
    <mergeCell ref="F133:G134"/>
    <mergeCell ref="H133:H134"/>
    <mergeCell ref="F135:G135"/>
    <mergeCell ref="F136:G136"/>
    <mergeCell ref="A107:A108"/>
    <mergeCell ref="B107:B108"/>
    <mergeCell ref="C107:C108"/>
    <mergeCell ref="D107:E107"/>
    <mergeCell ref="A106:H106"/>
    <mergeCell ref="F103:G103"/>
    <mergeCell ref="C30:H30"/>
    <mergeCell ref="C31:H31"/>
    <mergeCell ref="B29:C29"/>
    <mergeCell ref="C62:H62"/>
    <mergeCell ref="A43:H43"/>
    <mergeCell ref="A42:H42"/>
    <mergeCell ref="H67:H68"/>
    <mergeCell ref="F69:G69"/>
    <mergeCell ref="F70:G70"/>
    <mergeCell ref="F137:G137"/>
    <mergeCell ref="F144:G144"/>
    <mergeCell ref="A67:A68"/>
    <mergeCell ref="B67:B68"/>
    <mergeCell ref="C67:C68"/>
    <mergeCell ref="D67:E67"/>
    <mergeCell ref="F67:G68"/>
    <mergeCell ref="C131:H131"/>
    <mergeCell ref="C97:H97"/>
    <mergeCell ref="C98:H98"/>
    <mergeCell ref="A100:A101"/>
    <mergeCell ref="B100:B101"/>
    <mergeCell ref="C100:C101"/>
    <mergeCell ref="D100:E100"/>
    <mergeCell ref="F100:G101"/>
    <mergeCell ref="H100:H101"/>
    <mergeCell ref="F102:G102"/>
    <mergeCell ref="G107:G108"/>
    <mergeCell ref="C130:H130"/>
    <mergeCell ref="F71:G71"/>
    <mergeCell ref="F72:G72"/>
    <mergeCell ref="F107:F108"/>
    <mergeCell ref="H83:H84"/>
    <mergeCell ref="H107:H108"/>
    <mergeCell ref="A83:A84"/>
    <mergeCell ref="B83:B84"/>
    <mergeCell ref="C83:C84"/>
    <mergeCell ref="D83:E83"/>
    <mergeCell ref="A44:A45"/>
    <mergeCell ref="B44:B45"/>
    <mergeCell ref="C44:C45"/>
    <mergeCell ref="A82:H82"/>
    <mergeCell ref="F36:G36"/>
    <mergeCell ref="F37:G37"/>
  </mergeCells>
  <pageMargins left="0.39370078740157483" right="0.39370078740157483" top="0.39370078740157483" bottom="0.39370078740157483" header="0.31496062992125984" footer="0.31496062992125984"/>
  <pageSetup paperSize="9" scale="66" fitToHeight="0" orientation="landscape" r:id="rId1"/>
  <rowBreaks count="3" manualBreakCount="3">
    <brk id="41" max="16383" man="1"/>
    <brk id="80" max="16383" man="1"/>
    <brk id="104" max="16383"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Th6-T7</vt:lpstr>
      <vt:lpstr>Th8-T9</vt:lpstr>
      <vt:lpstr>Th3-T4</vt:lpstr>
      <vt:lpstr>Th2-Th3</vt:lpstr>
      <vt:lpstr>'Th3-T4'!Print_Area</vt:lpstr>
      <vt:lpstr>'Th6-T7'!Print_Area</vt:lpstr>
      <vt:lpstr>'Th8-T9'!Print_Area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 Nguyen Duy</dc:creator>
  <cp:lastModifiedBy>Gia Bao</cp:lastModifiedBy>
  <cp:lastPrinted>2025-06-23T11:38:42Z</cp:lastPrinted>
  <dcterms:created xsi:type="dcterms:W3CDTF">2017-11-12T01:38:00Z</dcterms:created>
  <dcterms:modified xsi:type="dcterms:W3CDTF">2025-12-22T07:58:31Z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1033-11.2.0.10152</vt:lpwstr>
  </property>
</Properties>
</file>